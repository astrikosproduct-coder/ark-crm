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ARKcrm\docs\phase2\"/>
    </mc:Choice>
  </mc:AlternateContent>
  <xr:revisionPtr revIDLastSave="0" documentId="13_ncr:1_{B2947E4B-134E-4F94-A50C-E25E5B81CEFD}" xr6:coauthVersionLast="36" xr6:coauthVersionMax="36" xr10:uidLastSave="{00000000-0000-0000-0000-000000000000}"/>
  <bookViews>
    <workbookView xWindow="0" yWindow="0" windowWidth="14380" windowHeight="5300" activeTab="6" xr2:uid="{00000000-000D-0000-FFFF-FFFF00000000}"/>
  </bookViews>
  <sheets>
    <sheet name="Start here" sheetId="1" r:id="rId1"/>
    <sheet name="Roles" sheetId="2" r:id="rId2"/>
    <sheet name="Profiles" sheetId="3" r:id="rId3"/>
    <sheet name="Permissions" sheetId="4" r:id="rId4"/>
    <sheet name="Groups" sheetId="5" r:id="rId5"/>
    <sheet name="People" sheetId="6" r:id="rId6"/>
    <sheet name="Questions" sheetId="7" r:id="rId7"/>
    <sheet name="Sheet1" sheetId="8" r:id="rId8"/>
  </sheets>
  <definedNames>
    <definedName name="ProfileList">Profiles!$G$5:$G$15</definedName>
    <definedName name="RoleList">Roles!$G$5:$G$22</definedName>
  </definedNames>
  <calcPr calcId="191029"/>
</workbook>
</file>

<file path=xl/calcChain.xml><?xml version="1.0" encoding="utf-8"?>
<calcChain xmlns="http://schemas.openxmlformats.org/spreadsheetml/2006/main">
  <c r="N58" i="6" l="1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B6" i="6"/>
  <c r="B5" i="6"/>
  <c r="B4" i="6"/>
  <c r="C4" i="6" s="1"/>
  <c r="G15" i="3"/>
  <c r="G14" i="3"/>
  <c r="G13" i="3"/>
  <c r="G12" i="3"/>
  <c r="G11" i="3"/>
  <c r="G10" i="3"/>
  <c r="G9" i="3"/>
  <c r="G8" i="3"/>
  <c r="G7" i="3"/>
  <c r="G6" i="3"/>
  <c r="G5" i="3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<sst xmlns="http://schemas.openxmlformats.org/spreadsheetml/2006/main" count="1127" uniqueCount="443">
  <si>
    <t>ARK CRM — Who can do what: decisions for the Head</t>
  </si>
  <si>
    <t>Prepared 30 Sep 2026 · Based on the Sales &amp; Presales Playbook v3.0 (Mar 2026) · Fill the yellow cells · A blank cell means "use the recommendation"</t>
  </si>
  <si>
    <t>Every person gets three things</t>
  </si>
  <si>
    <t>Thing</t>
  </si>
  <si>
    <t>Answers</t>
  </si>
  <si>
    <t>How many</t>
  </si>
  <si>
    <t>Example: Rahul, a BD Executive</t>
  </si>
  <si>
    <t>Role</t>
  </si>
  <si>
    <t>Whose records can I see?</t>
  </si>
  <si>
    <t>Exactly one</t>
  </si>
  <si>
    <t>BD Executive, reporting to BD Manager. Rahul sees his own records; his BD Manager and BD Director see them too.</t>
  </si>
  <si>
    <t>Profile</t>
  </si>
  <si>
    <t>What can I do with them?</t>
  </si>
  <si>
    <t>Exactly one (many people share one)</t>
  </si>
  <si>
    <t>BD Executive: create and edit Leads, move Stages 0 to 3. Cannot change Probability %, delete, import or export.</t>
  </si>
  <si>
    <t>Groups</t>
  </si>
  <si>
    <t>Which pickers and approvals am I in?</t>
  </si>
  <si>
    <t>Any number</t>
  </si>
  <si>
    <t>BD Owners: Rahul appears in the BD Owner picker and can carry a sales target.</t>
  </si>
  <si>
    <t>The rule</t>
  </si>
  <si>
    <t>A role gives sight, never buttons. A profile gives buttons, never sight. A group puts people in pickers and approvals. The server checks all three on every click.</t>
  </si>
  <si>
    <t>How to fill this workbook (about 45 minutes)</t>
  </si>
  <si>
    <t>Tab</t>
  </si>
  <si>
    <t>What to do</t>
  </si>
  <si>
    <t>Time</t>
  </si>
  <si>
    <t>Tip</t>
  </si>
  <si>
    <t>Roles</t>
  </si>
  <si>
    <t>Check the tree of positions. Rename, remove or add roles. Set "Reports to" and whether peers share records. Check who else sees the pipeline.</t>
  </si>
  <si>
    <t>5 min</t>
  </si>
  <si>
    <t>Roles are positions, not people. Several people can hold one role.</t>
  </si>
  <si>
    <t>Profiles</t>
  </si>
  <si>
    <t>Keep, rename or remove each profile.</t>
  </si>
  <si>
    <t>A profile is a set of permissions shared by everyone who holds it.</t>
  </si>
  <si>
    <t>Permissions</t>
  </si>
  <si>
    <t>Change any tick you disagree with: modules, tools, fields and stage moves.</t>
  </si>
  <si>
    <t>15 min</t>
  </si>
  <si>
    <t>Green cells show our recommendation. Change only what you disagree with.</t>
  </si>
  <si>
    <t>Keep or change each group.</t>
  </si>
  <si>
    <t>3 min</t>
  </si>
  <si>
    <t>Groups are today's "responsibilities": BD Owner, Presales Owner and so on.</t>
  </si>
  <si>
    <t>People</t>
  </si>
  <si>
    <t>One row per employee: pick a Role, a Profile and Yes for each Group.</t>
  </si>
  <si>
    <t>10 min</t>
  </si>
  <si>
    <t>The Check column flags combinations that will not work.</t>
  </si>
  <si>
    <t>Questions</t>
  </si>
  <si>
    <t>Pick an answer for each question. Use "Other" and the notes column to define your own.</t>
  </si>
  <si>
    <t>Blank means you accept our recommendation.</t>
  </si>
  <si>
    <t>Legend</t>
  </si>
  <si>
    <t>Yellow cell</t>
  </si>
  <si>
    <t>You fill or change this.</t>
  </si>
  <si>
    <t>Green cell</t>
  </si>
  <si>
    <t>Our recommendation. Change it if you disagree.</t>
  </si>
  <si>
    <t>Grey row</t>
  </si>
  <si>
    <t>An example showing the expected format.</t>
  </si>
  <si>
    <t>✓ / ✗</t>
  </si>
  <si>
    <t>Allowed / not allowed.</t>
  </si>
  <si>
    <t>Read/Write · Read-only</t>
  </si>
  <si>
    <t>What a profile may do with a field. In version 2 a field can be locked (read-only) but not hidden. To keep something from a team, their profile has no access to that module.</t>
  </si>
  <si>
    <t>What happens next</t>
  </si>
  <si>
    <t>We turn your answers into an implementation plan. On release day nobody loses access: everyone keeps today's access until the Admin moves them onto their new profile, one person at a time.</t>
  </si>
  <si>
    <t>Roles — the tree of positions (whose records a person sees)</t>
  </si>
  <si>
    <t>A role sees everything owned by the roles below it. Change "Reports to", rename, remove, or add roles in the empty rows.</t>
  </si>
  <si>
    <t>Code</t>
  </si>
  <si>
    <t>Reports to</t>
  </si>
  <si>
    <t>Peers see each other's records?</t>
  </si>
  <si>
    <t>Keep?</t>
  </si>
  <si>
    <t>Your notes</t>
  </si>
  <si>
    <t>Appears in dropdowns as</t>
  </si>
  <si>
    <t>R1</t>
  </si>
  <si>
    <t>CEO / GM</t>
  </si>
  <si>
    <t>—</t>
  </si>
  <si>
    <t>R2</t>
  </si>
  <si>
    <t>BD Director</t>
  </si>
  <si>
    <t>R1 CEO / GM</t>
  </si>
  <si>
    <t>R3</t>
  </si>
  <si>
    <t>BD Manager</t>
  </si>
  <si>
    <t>R2 BD Director</t>
  </si>
  <si>
    <t>No</t>
  </si>
  <si>
    <t>R4</t>
  </si>
  <si>
    <t>BD Executive</t>
  </si>
  <si>
    <t>R3 BD Manager</t>
  </si>
  <si>
    <t>R5</t>
  </si>
  <si>
    <t>Sales Manager (empty until hired)</t>
  </si>
  <si>
    <t>R6</t>
  </si>
  <si>
    <t>Sales Executive (empty until hired)</t>
  </si>
  <si>
    <t>R5 Sales Manager (empty until hired)</t>
  </si>
  <si>
    <t>R7</t>
  </si>
  <si>
    <t>Head of Presales</t>
  </si>
  <si>
    <t>R8</t>
  </si>
  <si>
    <t>Presales Engineer</t>
  </si>
  <si>
    <t>R7 Head of Presales</t>
  </si>
  <si>
    <t>Yes</t>
  </si>
  <si>
    <t>R9</t>
  </si>
  <si>
    <t>Head of Product</t>
  </si>
  <si>
    <t>R10</t>
  </si>
  <si>
    <t>Product Engineer</t>
  </si>
  <si>
    <t>R9 Head of Product</t>
  </si>
  <si>
    <t>R11</t>
  </si>
  <si>
    <t>Head of Delivery</t>
  </si>
  <si>
    <t>R12</t>
  </si>
  <si>
    <t>Delivery PM</t>
  </si>
  <si>
    <t>R11 Head of Delivery</t>
  </si>
  <si>
    <t>R13</t>
  </si>
  <si>
    <t>Commercial Head / CFO</t>
  </si>
  <si>
    <t>R14</t>
  </si>
  <si>
    <t>Commercial / Finance Analyst</t>
  </si>
  <si>
    <t>R13 Commercial Head / CFO</t>
  </si>
  <si>
    <t>R15</t>
  </si>
  <si>
    <t>Developer</t>
  </si>
  <si>
    <t>R16</t>
  </si>
  <si>
    <t>R17</t>
  </si>
  <si>
    <t>R18</t>
  </si>
  <si>
    <t>Who else sees the BD pipeline (sharing rules)</t>
  </si>
  <si>
    <t>#</t>
  </si>
  <si>
    <t>Records owned by</t>
  </si>
  <si>
    <t>Shared with</t>
  </si>
  <si>
    <t>Access</t>
  </si>
  <si>
    <t>Agree?</t>
  </si>
  <si>
    <t>S1</t>
  </si>
  <si>
    <t>BD Director and everyone below</t>
  </si>
  <si>
    <t>Head of Presales and everyone below</t>
  </si>
  <si>
    <t>Leads, Opportunities, Deals: read/write</t>
  </si>
  <si>
    <t>S2</t>
  </si>
  <si>
    <t>Head of Product and everyone below</t>
  </si>
  <si>
    <t>Leads only: read/write on the demo and POC fields, the rest read-only. No Opportunities or Deals.</t>
  </si>
  <si>
    <t>S3</t>
  </si>
  <si>
    <t>Head of Delivery and everyone below</t>
  </si>
  <si>
    <t>Deals: read/write. Opportunities: read-only</t>
  </si>
  <si>
    <t>S4</t>
  </si>
  <si>
    <t>Commercial Head / CFO and everyone below</t>
  </si>
  <si>
    <t>Opportunities, Deals: read-only (booking fields editable)</t>
  </si>
  <si>
    <t>Baseline for each module (before roles and sharing rules add more)</t>
  </si>
  <si>
    <t>Module</t>
  </si>
  <si>
    <t>Default</t>
  </si>
  <si>
    <t>Why</t>
  </si>
  <si>
    <t>D1</t>
  </si>
  <si>
    <t>Leads, Opportunities, Deals</t>
  </si>
  <si>
    <t>Private</t>
  </si>
  <si>
    <t>Owner (the BD Owner), their managers and the sharing rules above</t>
  </si>
  <si>
    <t>D2</t>
  </si>
  <si>
    <t>Accounts &amp; Partners, Contacts</t>
  </si>
  <si>
    <t>Everyone reads and edits</t>
  </si>
  <si>
    <t>Hiding an Account leads to duplicates. The profile still decides who may edit or delete.</t>
  </si>
  <si>
    <t>D3</t>
  </si>
  <si>
    <t>Deal Registrations, Conflicts</t>
  </si>
  <si>
    <t>Everyone reads</t>
  </si>
  <si>
    <t>BD roles edit them through their profile</t>
  </si>
  <si>
    <t>D4</t>
  </si>
  <si>
    <t>Sales targets</t>
  </si>
  <si>
    <t>Own + everyone below</t>
  </si>
  <si>
    <t>"View all targets" is a profile permission</t>
  </si>
  <si>
    <t>Profiles — what a person can do</t>
  </si>
  <si>
    <t>Each person gets exactly one profile. The detailed ticks are on the Permissions tab.</t>
  </si>
  <si>
    <t>Usually given to (roles)</t>
  </si>
  <si>
    <t>In one line</t>
  </si>
  <si>
    <t>New name / notes</t>
  </si>
  <si>
    <t>P1</t>
  </si>
  <si>
    <t>Administrator</t>
  </si>
  <si>
    <t>CEO / GM, plus one more admin</t>
  </si>
  <si>
    <t>Everything, including Setup, delete, erase a pursuit and locking targets.</t>
  </si>
  <si>
    <t>P2</t>
  </si>
  <si>
    <t>BD Leadership</t>
  </si>
  <si>
    <t>BD Director, BD Manager</t>
  </si>
  <si>
    <t>Runs the BD pipeline. Changes Probability %, changes owner, imports and exports, resolves registration conflicts, drafts team targets.</t>
  </si>
  <si>
    <t>P3</t>
  </si>
  <si>
    <t>Creates and edits own Leads, Accounts, Contacts and registrations. Moves Stages 0 to 3.</t>
  </si>
  <si>
    <t>P4</t>
  </si>
  <si>
    <t>Sales (dormant)</t>
  </si>
  <si>
    <t>Sales Manager, Sales Executive</t>
  </si>
  <si>
    <t>Like BD Executive, and moves Stages 3 to 7. Switched on when Sales is hired.</t>
  </si>
  <si>
    <t>P5</t>
  </si>
  <si>
    <t>Presales</t>
  </si>
  <si>
    <t>Head of Presales, Presales Engineer</t>
  </si>
  <si>
    <t>Edits bid and TBE fields. Moves Stages 3 to 7, hands over at 7 to 8, books the order.</t>
  </si>
  <si>
    <t>P6</t>
  </si>
  <si>
    <t>Product</t>
  </si>
  <si>
    <t>Head of Product, Product Engineer</t>
  </si>
  <si>
    <t>Works on Leads only: the demo (Stage 1) and the POC (Stage 2), and the POC module once built. No access to Opportunities, Deals or registrations: those modules are not shown to them.</t>
  </si>
  <si>
    <t>P7</t>
  </si>
  <si>
    <t>Delivery</t>
  </si>
  <si>
    <t>Head of Delivery, Delivery PM</t>
  </si>
  <si>
    <t>Edits Deals. Moves 7 to 8 and 8 to 9. Enters go-live, CSAT and reference status.</t>
  </si>
  <si>
    <t>P8</t>
  </si>
  <si>
    <t>Commercial &amp; Finance</t>
  </si>
  <si>
    <t>Commercial Head / CFO, Analyst</t>
  </si>
  <si>
    <t>Views Opportunities and Deals. Edits booking fields. Exports. Sees all targets.</t>
  </si>
  <si>
    <t>P9</t>
  </si>
  <si>
    <t>Customises and publishes Setup, developer tools, feedback queue. Views business data.</t>
  </si>
  <si>
    <t>P10</t>
  </si>
  <si>
    <t>P11</t>
  </si>
  <si>
    <t>Note</t>
  </si>
  <si>
    <t>On release day everyone first sits on a temporary profile, "Standard (as today)", which keeps today's access. The Admin then moves each person to the profile you pick on the People tab. Use P10 and P11 to define a profile of your own.</t>
  </si>
  <si>
    <t>Permissions — the ticks behind each profile</t>
  </si>
  <si>
    <t>Green = our recommendation. Change any cell from its dropdown. Add a note on the right if you change something.</t>
  </si>
  <si>
    <t>Area</t>
  </si>
  <si>
    <t>Permission</t>
  </si>
  <si>
    <t>P1 Administrator</t>
  </si>
  <si>
    <t>P2 BD Leadership</t>
  </si>
  <si>
    <t>P3 BD Executive</t>
  </si>
  <si>
    <t>P4 Sales (dormant)</t>
  </si>
  <si>
    <t>P5 Presales</t>
  </si>
  <si>
    <t>P6 Product</t>
  </si>
  <si>
    <t>P7 Delivery</t>
  </si>
  <si>
    <t>P8 Commercial &amp; Finance</t>
  </si>
  <si>
    <t>P9 Developer</t>
  </si>
  <si>
    <t>A. Modules — who may view, create, edit or delete (Opportunities and Deals are never created by hand: they come from converting)</t>
  </si>
  <si>
    <t>Leads</t>
  </si>
  <si>
    <t>View</t>
  </si>
  <si>
    <t>✓</t>
  </si>
  <si>
    <t>✗</t>
  </si>
  <si>
    <t>Create</t>
  </si>
  <si>
    <t>Edit</t>
  </si>
  <si>
    <t>Delete</t>
  </si>
  <si>
    <t>Opportunities</t>
  </si>
  <si>
    <t>Deals</t>
  </si>
  <si>
    <t>Accounts &amp; Partners</t>
  </si>
  <si>
    <t>Contacts</t>
  </si>
  <si>
    <t>Registrations &amp; Conflicts</t>
  </si>
  <si>
    <t>B. Tools and special actions</t>
  </si>
  <si>
    <t>Data</t>
  </si>
  <si>
    <t>Import (Leads, Accounts, Contacts, Partners)</t>
  </si>
  <si>
    <t>Export</t>
  </si>
  <si>
    <t>Pipeline</t>
  </si>
  <si>
    <t>Change owner / mass transfer</t>
  </si>
  <si>
    <t>Manage pursuit groups (change primary, remove)</t>
  </si>
  <si>
    <t>Erase a whole pursuit (permanent)</t>
  </si>
  <si>
    <t>Partners</t>
  </si>
  <si>
    <t>Withdraw a registration</t>
  </si>
  <si>
    <t>Resolve a registration conflict (playbook: BD Director)</t>
  </si>
  <si>
    <t>Targets</t>
  </si>
  <si>
    <t>View everyone's targets (own and team are automatic)</t>
  </si>
  <si>
    <t>Draft targets for my team</t>
  </si>
  <si>
    <t>Lock and revise targets</t>
  </si>
  <si>
    <t>Dashboard</t>
  </si>
  <si>
    <t>View the dashboard (numbers follow what the person can see)</t>
  </si>
  <si>
    <t>Records</t>
  </si>
  <si>
    <t>View the audit log</t>
  </si>
  <si>
    <t>Take a pipeline snapshot by hand</t>
  </si>
  <si>
    <t>Feedback</t>
  </si>
  <si>
    <t>Read and manage the feedback queue</t>
  </si>
  <si>
    <t>Setup</t>
  </si>
  <si>
    <t>Manage users</t>
  </si>
  <si>
    <t>Manage roles, profiles, groups and sharing</t>
  </si>
  <si>
    <t>Customise modules, fields and choices</t>
  </si>
  <si>
    <t>Publish register changes (live at once)</t>
  </si>
  <si>
    <t>Developer tools</t>
  </si>
  <si>
    <t>C. Fields — Read/Write or Read-only (no hidden fields in version 2). "—" means the profile cannot open that module at all</t>
  </si>
  <si>
    <t>Progression % and Probability % (playbook: overrides need a BD Manager)</t>
  </si>
  <si>
    <t>Read/Write</t>
  </si>
  <si>
    <t>Read-only</t>
  </si>
  <si>
    <t>Commercial figures: estimated value on Leads; ARR, one-time, third-party, gross margin, discount</t>
  </si>
  <si>
    <t>Stages 1–2</t>
  </si>
  <si>
    <t>Demo and POC fields</t>
  </si>
  <si>
    <t>Stages 4–6</t>
  </si>
  <si>
    <t>Bid and TBE fields</t>
  </si>
  <si>
    <t>Stage 7</t>
  </si>
  <si>
    <t>Close and booking: PO received date, PO reference, booking</t>
  </si>
  <si>
    <t>Stages 8–9</t>
  </si>
  <si>
    <t>Delivery: go-live, CSAT, reference status</t>
  </si>
  <si>
    <t>D. Stage moves — who may move a pursuit from one stage to the next</t>
  </si>
  <si>
    <t>0 → 1 → 2 → 3</t>
  </si>
  <si>
    <t>Mark a POC / pilot Paid (creates the Deal)</t>
  </si>
  <si>
    <t>Lead → Opp</t>
  </si>
  <si>
    <t>3 → 4 (needs Commit to Bid approved)</t>
  </si>
  <si>
    <t>4 → 5 → 6</t>
  </si>
  <si>
    <t>Opp → Deal</t>
  </si>
  <si>
    <t>6 → 7 (PO or LOI received)</t>
  </si>
  <si>
    <t>7 → 8 (handover to Delivery)</t>
  </si>
  <si>
    <t>8 → 9 (Expansion)</t>
  </si>
  <si>
    <t>Any stage</t>
  </si>
  <si>
    <t>Reopen a Closed Lost pursuit</t>
  </si>
  <si>
    <t>Moving back, On Hold and Closed Lost: allowed for anyone who may move the pursuit forward from that stage, and for their managers. The reason is always asked for.</t>
  </si>
  <si>
    <t>A module a profile cannot View is not shown to them at all, as in Zoho. Opening a direct link to it shows "You don't have access to this". The server refuses it either way.</t>
  </si>
  <si>
    <t>Groups — today's "responsibilities" (pickers, targets and approvals)</t>
  </si>
  <si>
    <t>A person can be in any number of groups. A group gives no access by itself.</t>
  </si>
  <si>
    <t>Group</t>
  </si>
  <si>
    <t>Puts people in…</t>
  </si>
  <si>
    <t>Recommended members (by role)</t>
  </si>
  <si>
    <t>G1</t>
  </si>
  <si>
    <t>BD Owners</t>
  </si>
  <si>
    <t>The BD Owner picker. Only members can carry a sales target.</t>
  </si>
  <si>
    <t>BD Director, BD Manager, BD Executive</t>
  </si>
  <si>
    <t>G2</t>
  </si>
  <si>
    <t>Sales Owners</t>
  </si>
  <si>
    <t>The Sales Owner picker</t>
  </si>
  <si>
    <t>Sales roles. Until Sales is hired: BD Leadership and Presales people.</t>
  </si>
  <si>
    <t>G3</t>
  </si>
  <si>
    <t>The Presales Owner picker</t>
  </si>
  <si>
    <t>G4</t>
  </si>
  <si>
    <t>The POC lead picker</t>
  </si>
  <si>
    <t>G5</t>
  </si>
  <si>
    <t>The Delivery Owner picker (new field on Deals)</t>
  </si>
  <si>
    <t>G6</t>
  </si>
  <si>
    <t>CTB Approvers</t>
  </si>
  <si>
    <t>Commit to Bid approvals (built with Gates)</t>
  </si>
  <si>
    <t>BD Director; CEO for Class A accounts</t>
  </si>
  <si>
    <t>G7</t>
  </si>
  <si>
    <t>Commercial Approvers</t>
  </si>
  <si>
    <t>Pricing, margin and contract approvals (built with Gates)</t>
  </si>
  <si>
    <t>Commercial Head / CFO, Department Head, CEO</t>
  </si>
  <si>
    <t>G8</t>
  </si>
  <si>
    <t>G9</t>
  </si>
  <si>
    <t>People — one row per employee</t>
  </si>
  <si>
    <t>Pick a Role and a Profile from the dropdowns and Yes for each Group. The grey row is an example. The Check column flags combinations that will not work.</t>
  </si>
  <si>
    <t>Administrators picked</t>
  </si>
  <si>
    <t>People listed</t>
  </si>
  <si>
    <t>Rows to look at</t>
  </si>
  <si>
    <t>Name</t>
  </si>
  <si>
    <t>Email (optional)</t>
  </si>
  <si>
    <t>G1 BD Owners</t>
  </si>
  <si>
    <t>G2 Sales Owners</t>
  </si>
  <si>
    <t>G3 Presales</t>
  </si>
  <si>
    <t>G4 Product</t>
  </si>
  <si>
    <t>G5 Delivery</t>
  </si>
  <si>
    <t>G6 CTB Approvers</t>
  </si>
  <si>
    <t>G7 Commercial Approvers</t>
  </si>
  <si>
    <t>Other groups</t>
  </si>
  <si>
    <t>Notes</t>
  </si>
  <si>
    <t>Check</t>
  </si>
  <si>
    <t>Example: Rahul</t>
  </si>
  <si>
    <t>R4 BD Executive</t>
  </si>
  <si>
    <t>Example row: shows the format</t>
  </si>
  <si>
    <t>Questions — decisions only the Head can make</t>
  </si>
  <si>
    <t>Pick an answer from the dropdown in the yellow column. "Other" lets you define your own in the last column. Blank means you accept our recommendation.</t>
  </si>
  <si>
    <t>Topic</t>
  </si>
  <si>
    <t>Question</t>
  </si>
  <si>
    <t>Why it matters</t>
  </si>
  <si>
    <t>Our recommendation</t>
  </si>
  <si>
    <t>Must decide?</t>
  </si>
  <si>
    <t>Your answer</t>
  </si>
  <si>
    <t>If "Other": your answer / notes</t>
  </si>
  <si>
    <t>Where does the Sales function sit in the tree?</t>
  </si>
  <si>
    <t>Decides who sees Sales people's records once Sales is hired.</t>
  </si>
  <si>
    <t>Under BD Director</t>
  </si>
  <si>
    <t>When will the Sales function be established?</t>
  </si>
  <si>
    <t>The playbook says both "planned 2026" (1.3) and "Year 2/3" (glossary). Decides whether we switch on the Sales profile now.</t>
  </si>
  <si>
    <t>Not decided</t>
  </si>
  <si>
    <t>Visibility</t>
  </si>
  <si>
    <t>Should BD Executives see each other's pipeline?</t>
  </si>
  <si>
    <t>Peers sharing is one switch per role.</t>
  </si>
  <si>
    <t>No: own only</t>
  </si>
  <si>
    <t>What should Presales and Product see?</t>
  </si>
  <si>
    <t>They work across many BD pursuits. The bi-weekly pipeline review already shows them Stages 3 to 7.</t>
  </si>
  <si>
    <t>The whole BD pipeline (sharing rules)</t>
  </si>
  <si>
    <t>Who owns a record from Lead to Deal?</t>
  </si>
  <si>
    <t>The owner anchors who sees it and who gets target credit.</t>
  </si>
  <si>
    <t>BD Owner throughout</t>
  </si>
  <si>
    <t>Accounts and Contacts: who sees and edits them?</t>
  </si>
  <si>
    <t>Hiding Accounts makes people create duplicates.</t>
  </si>
  <si>
    <t>Everyone reads and edits (profile decides)</t>
  </si>
  <si>
    <t>INTEL contacts: who may see them?</t>
  </si>
  <si>
    <t>The playbook says INTEL contacts are "handled with discretion by BD".</t>
  </si>
  <si>
    <t>BD roles only</t>
  </si>
  <si>
    <t>Actions</t>
  </si>
  <si>
    <t>Who may override Probability %?</t>
  </si>
  <si>
    <t>The playbook says overrides need a BD Manager's justification.</t>
  </si>
  <si>
    <t>BD Manager and above</t>
  </si>
  <si>
    <t>Who may delete records?</t>
  </si>
  <si>
    <t>Closed Lost and Deactivate already keep history; delete removes it.</t>
  </si>
  <si>
    <t>Administrator only</t>
  </si>
  <si>
    <t>Who may erase a whole pursuit (permanent)?</t>
  </si>
  <si>
    <t>Today anyone with a role can do this. It is the biggest risk in the app.</t>
  </si>
  <si>
    <t>Should BD Director and BD Manager share one profile?</t>
  </si>
  <si>
    <t>The playbook gives Commit to Bid approval and conflict resolution to the BD Director alone.</t>
  </si>
  <si>
    <t>Share one profile</t>
  </si>
  <si>
    <t>Fields</t>
  </si>
  <si>
    <t>In version 2 fields can be locked (read-only) but not hidden. Is that acceptable?</t>
  </si>
  <si>
    <t>Hiding a field is the riskiest part to build. A team that must not see something gets no access to that module instead.</t>
  </si>
  <si>
    <t>Yes: read-only is enough</t>
  </si>
  <si>
    <t>Which Leads does the Product team see?</t>
  </si>
  <si>
    <t>Product works on the demo (Stage 1) and the POC (Stage 2) only. They never see Opportunities or Deals.</t>
  </si>
  <si>
    <t>All Leads</t>
  </si>
  <si>
    <t>Commercial figures for Delivery?</t>
  </si>
  <si>
    <t>Delivery needs contract value and milestones after the close.</t>
  </si>
  <si>
    <t>Stage moves</t>
  </si>
  <si>
    <t>Are the stage moves on the Permissions tab (section D) right?</t>
  </si>
  <si>
    <t>They follow the playbook: BD 0 to 3, Presales 4 to 7, Delivery 8 to 9.</t>
  </si>
  <si>
    <t>Agree</t>
  </si>
  <si>
    <t>Owner fields</t>
  </si>
  <si>
    <t>Move Presales Owner from Stage 3 to Stage 1?</t>
  </si>
  <si>
    <t>Presales and Product work on the demo (1) and POC (2) before the field appears at 3.</t>
  </si>
  <si>
    <t>Require a Sales Owner to leave Stage 3?</t>
  </si>
  <si>
    <t>The stage table makes Sales accountable for 3 to 7, but the field is never required.</t>
  </si>
  <si>
    <t>Add a Delivery Owner field on Deals at Stage 7?</t>
  </si>
  <si>
    <t>Delivery owns Stages 8 and 9 but nobody can be named today.</t>
  </si>
  <si>
    <t>Allow "Change owner" on converted pursuits?</t>
  </si>
  <si>
    <t>If an owner leaves mid-Deal, nobody can reassign it today.</t>
  </si>
  <si>
    <t>Should owner pickers list only that group?</t>
  </si>
  <si>
    <t>For example, the Presales Owner picker lists only the Presales group.</t>
  </si>
  <si>
    <t>Who carries a sales target?</t>
  </si>
  <si>
    <t>Only BD Owners can hold one today.</t>
  </si>
  <si>
    <t>BD and Sales</t>
  </si>
  <si>
    <t>What is a team's target?</t>
  </si>
  <si>
    <t>Targets are stored per person per month today.</t>
  </si>
  <si>
    <t>Sum of individuals incl. the manager</t>
  </si>
  <si>
    <t>Who drafts and who locks targets?</t>
  </si>
  <si>
    <t>Nobody should draft their own target.</t>
  </si>
  <si>
    <t>Manager drafts team / Admin locks</t>
  </si>
  <si>
    <t>Who sees everyone's targets (leaderboard)?</t>
  </si>
  <si>
    <t>Own and team targets are always visible.</t>
  </si>
  <si>
    <t>Admin and Commercial &amp; Finance</t>
  </si>
  <si>
    <t>Can people see a draft target before it is locked?</t>
  </si>
  <si>
    <t>A draft may still change.</t>
  </si>
  <si>
    <t>Only once locked</t>
  </si>
  <si>
    <t>Show a "pipeline supported" figure for Presales?</t>
  </si>
  <si>
    <t>Credit stays with the BD Owner. This shows Presales effort without splitting credit.</t>
  </si>
  <si>
    <t>Who else is an Administrator besides the CEO?</t>
  </si>
  <si>
    <t>At least two Administrators, so nobody gets locked out.</t>
  </si>
  <si>
    <t>Name them in the next column</t>
  </si>
  <si>
    <t>Developers and business data in production?</t>
  </si>
  <si>
    <t>Developers maintain the app; they do not work deals.</t>
  </si>
  <si>
    <t>View only</t>
  </si>
  <si>
    <t>How should one-off exceptions be handled?</t>
  </si>
  <si>
    <t>For example, one BD Executive who needs Import.</t>
  </si>
  <si>
    <t>Clone a profile for that person</t>
  </si>
  <si>
    <t>Should Setup warn when a person's group needs powers their profile lacks?</t>
  </si>
  <si>
    <t>For example, a BD Owner on a profile that cannot move stages.</t>
  </si>
  <si>
    <t>Ajit</t>
  </si>
  <si>
    <t>Ashish</t>
  </si>
  <si>
    <t>Dhanya</t>
  </si>
  <si>
    <t>Rakshanda</t>
  </si>
  <si>
    <t>Sales</t>
  </si>
  <si>
    <t>Amit</t>
  </si>
  <si>
    <t>Ambuj</t>
  </si>
  <si>
    <t>Prakshal</t>
  </si>
  <si>
    <t>Rahul</t>
  </si>
  <si>
    <t>Ali</t>
  </si>
  <si>
    <t>Kaustubh</t>
  </si>
  <si>
    <t xml:space="preserve">Management Team </t>
  </si>
  <si>
    <t>Chinmay</t>
  </si>
  <si>
    <t>Suresh</t>
  </si>
  <si>
    <t>Sunil</t>
  </si>
  <si>
    <t xml:space="preserve">Sunil </t>
  </si>
  <si>
    <t>Ashwin</t>
  </si>
  <si>
    <t>Akash</t>
  </si>
  <si>
    <t>Own Head of Sales under CEO</t>
  </si>
  <si>
    <t>Yes: all BD Executives</t>
  </si>
  <si>
    <t>Only pursuits they are named on</t>
  </si>
  <si>
    <t>Other (write in the next column)</t>
  </si>
  <si>
    <t>Sales/BD</t>
  </si>
  <si>
    <t>Only Mangement</t>
  </si>
  <si>
    <t>Only Leads at Stages 1 and 2</t>
  </si>
  <si>
    <t>Drafts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</si>
</sst>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1F4E79"/>
      <name val="Arial"/>
    </font>
    <font>
      <i/>
      <sz val="10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9"/>
      <color rgb="FF7F7F7F"/>
      <name val="Arial"/>
    </font>
    <font>
      <i/>
      <sz val="10"/>
      <color rgb="FF7F7F7F"/>
      <name val="Arial"/>
    </font>
  </fonts>
  <fills count="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0" xfId="0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12">
    <dxf>
      <font>
        <b/>
        <color rgb="FFC00000"/>
        <name val="Arial"/>
      </font>
    </dxf>
    <dxf>
      <font>
        <b/>
        <color rgb="FFC00000"/>
        <name val="Arial"/>
      </font>
    </dxf>
    <dxf>
      <font>
        <b/>
        <color rgb="FF1E7B34"/>
        <name val="Arial"/>
      </font>
    </dxf>
    <dxf>
      <font>
        <color rgb="FF1E7B34"/>
        <name val="Arial"/>
      </font>
    </dxf>
    <dxf>
      <font>
        <b/>
        <color rgb="FFC00000"/>
        <name val="Arial"/>
      </font>
    </dxf>
    <dxf>
      <font>
        <color rgb="FFA6A6A6"/>
        <name val="Arial"/>
      </font>
    </dxf>
    <dxf>
      <font>
        <b/>
        <color rgb="FF1E7B34"/>
        <name val="Arial"/>
      </font>
    </dxf>
    <dxf>
      <font>
        <color rgb="FFA6A6A6"/>
        <name val="Arial"/>
      </font>
    </dxf>
    <dxf>
      <font>
        <b/>
        <color rgb="FF1E7B34"/>
        <name val="Arial"/>
      </font>
    </dxf>
    <dxf>
      <font>
        <color rgb="FFA6A6A6"/>
        <name val="Arial"/>
      </font>
    </dxf>
    <dxf>
      <font>
        <b/>
        <color rgb="FF1E7B34"/>
        <name val="Arial"/>
      </font>
    </dxf>
    <dxf>
      <font>
        <color rgb="FFA6A6A6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"/>
  <sheetViews>
    <sheetView showGridLines="0" workbookViewId="0"/>
  </sheetViews>
  <sheetFormatPr defaultRowHeight="14.5" x14ac:dyDescent="0.35"/>
  <cols>
    <col min="1" max="1" width="22" customWidth="1"/>
    <col min="2" max="2" width="34" customWidth="1"/>
    <col min="3" max="3" width="18" customWidth="1"/>
    <col min="4" max="4" width="58" customWidth="1"/>
  </cols>
  <sheetData>
    <row r="1" spans="1:4" ht="19" x14ac:dyDescent="0.4">
      <c r="A1" s="1" t="s">
        <v>0</v>
      </c>
    </row>
    <row r="2" spans="1:4" x14ac:dyDescent="0.35">
      <c r="A2" s="2" t="s">
        <v>1</v>
      </c>
    </row>
    <row r="4" spans="1:4" x14ac:dyDescent="0.35">
      <c r="A4" s="20" t="s">
        <v>2</v>
      </c>
      <c r="B4" s="19"/>
      <c r="C4" s="19"/>
      <c r="D4" s="19"/>
    </row>
    <row r="5" spans="1:4" x14ac:dyDescent="0.35">
      <c r="A5" s="3" t="s">
        <v>3</v>
      </c>
      <c r="B5" s="3" t="s">
        <v>4</v>
      </c>
      <c r="C5" s="3" t="s">
        <v>5</v>
      </c>
      <c r="D5" s="3" t="s">
        <v>6</v>
      </c>
    </row>
    <row r="6" spans="1:4" ht="25" x14ac:dyDescent="0.35">
      <c r="A6" s="4" t="s">
        <v>7</v>
      </c>
      <c r="B6" s="5" t="s">
        <v>8</v>
      </c>
      <c r="C6" s="5" t="s">
        <v>9</v>
      </c>
      <c r="D6" s="5" t="s">
        <v>10</v>
      </c>
    </row>
    <row r="7" spans="1:4" ht="25" x14ac:dyDescent="0.35">
      <c r="A7" s="4" t="s">
        <v>11</v>
      </c>
      <c r="B7" s="5" t="s">
        <v>12</v>
      </c>
      <c r="C7" s="5" t="s">
        <v>13</v>
      </c>
      <c r="D7" s="5" t="s">
        <v>14</v>
      </c>
    </row>
    <row r="8" spans="1:4" ht="25" x14ac:dyDescent="0.35">
      <c r="A8" s="4" t="s">
        <v>15</v>
      </c>
      <c r="B8" s="5" t="s">
        <v>16</v>
      </c>
      <c r="C8" s="5" t="s">
        <v>17</v>
      </c>
      <c r="D8" s="5" t="s">
        <v>18</v>
      </c>
    </row>
    <row r="10" spans="1:4" ht="30" customHeight="1" x14ac:dyDescent="0.35">
      <c r="A10" s="4" t="s">
        <v>19</v>
      </c>
      <c r="B10" s="18" t="s">
        <v>20</v>
      </c>
      <c r="C10" s="19"/>
      <c r="D10" s="19"/>
    </row>
    <row r="12" spans="1:4" x14ac:dyDescent="0.35">
      <c r="A12" s="20" t="s">
        <v>21</v>
      </c>
      <c r="B12" s="19"/>
      <c r="C12" s="19"/>
      <c r="D12" s="19"/>
    </row>
    <row r="13" spans="1:4" x14ac:dyDescent="0.35">
      <c r="A13" s="3" t="s">
        <v>22</v>
      </c>
      <c r="B13" s="3" t="s">
        <v>23</v>
      </c>
      <c r="C13" s="3" t="s">
        <v>24</v>
      </c>
      <c r="D13" s="3" t="s">
        <v>25</v>
      </c>
    </row>
    <row r="14" spans="1:4" ht="50" x14ac:dyDescent="0.35">
      <c r="A14" s="4" t="s">
        <v>26</v>
      </c>
      <c r="B14" s="5" t="s">
        <v>27</v>
      </c>
      <c r="C14" s="5" t="s">
        <v>28</v>
      </c>
      <c r="D14" s="5" t="s">
        <v>29</v>
      </c>
    </row>
    <row r="15" spans="1:4" x14ac:dyDescent="0.35">
      <c r="A15" s="4" t="s">
        <v>30</v>
      </c>
      <c r="B15" s="5" t="s">
        <v>31</v>
      </c>
      <c r="C15" s="5" t="s">
        <v>28</v>
      </c>
      <c r="D15" s="5" t="s">
        <v>32</v>
      </c>
    </row>
    <row r="16" spans="1:4" ht="25" x14ac:dyDescent="0.35">
      <c r="A16" s="4" t="s">
        <v>33</v>
      </c>
      <c r="B16" s="5" t="s">
        <v>34</v>
      </c>
      <c r="C16" s="5" t="s">
        <v>35</v>
      </c>
      <c r="D16" s="5" t="s">
        <v>36</v>
      </c>
    </row>
    <row r="17" spans="1:4" ht="25" x14ac:dyDescent="0.35">
      <c r="A17" s="4" t="s">
        <v>15</v>
      </c>
      <c r="B17" s="5" t="s">
        <v>37</v>
      </c>
      <c r="C17" s="5" t="s">
        <v>38</v>
      </c>
      <c r="D17" s="5" t="s">
        <v>39</v>
      </c>
    </row>
    <row r="18" spans="1:4" ht="25" x14ac:dyDescent="0.35">
      <c r="A18" s="4" t="s">
        <v>40</v>
      </c>
      <c r="B18" s="5" t="s">
        <v>41</v>
      </c>
      <c r="C18" s="5" t="s">
        <v>42</v>
      </c>
      <c r="D18" s="5" t="s">
        <v>43</v>
      </c>
    </row>
    <row r="19" spans="1:4" ht="37.5" x14ac:dyDescent="0.35">
      <c r="A19" s="4" t="s">
        <v>44</v>
      </c>
      <c r="B19" s="5" t="s">
        <v>45</v>
      </c>
      <c r="C19" s="5" t="s">
        <v>35</v>
      </c>
      <c r="D19" s="5" t="s">
        <v>46</v>
      </c>
    </row>
    <row r="21" spans="1:4" x14ac:dyDescent="0.35">
      <c r="A21" s="20" t="s">
        <v>47</v>
      </c>
      <c r="B21" s="19"/>
      <c r="C21" s="19"/>
      <c r="D21" s="19"/>
    </row>
    <row r="22" spans="1:4" x14ac:dyDescent="0.35">
      <c r="A22" s="6" t="s">
        <v>48</v>
      </c>
      <c r="B22" s="18" t="s">
        <v>49</v>
      </c>
      <c r="C22" s="19"/>
      <c r="D22" s="19"/>
    </row>
    <row r="23" spans="1:4" x14ac:dyDescent="0.35">
      <c r="A23" s="7" t="s">
        <v>50</v>
      </c>
      <c r="B23" s="18" t="s">
        <v>51</v>
      </c>
      <c r="C23" s="19"/>
      <c r="D23" s="19"/>
    </row>
    <row r="24" spans="1:4" x14ac:dyDescent="0.35">
      <c r="A24" s="8" t="s">
        <v>52</v>
      </c>
      <c r="B24" s="18" t="s">
        <v>53</v>
      </c>
      <c r="C24" s="19"/>
      <c r="D24" s="19"/>
    </row>
    <row r="25" spans="1:4" x14ac:dyDescent="0.35">
      <c r="A25" s="4" t="s">
        <v>54</v>
      </c>
      <c r="B25" s="18" t="s">
        <v>55</v>
      </c>
      <c r="C25" s="19"/>
      <c r="D25" s="19"/>
    </row>
    <row r="26" spans="1:4" x14ac:dyDescent="0.35">
      <c r="A26" s="4" t="s">
        <v>56</v>
      </c>
      <c r="B26" s="18" t="s">
        <v>57</v>
      </c>
      <c r="C26" s="19"/>
      <c r="D26" s="19"/>
    </row>
    <row r="28" spans="1:4" ht="30" customHeight="1" x14ac:dyDescent="0.35">
      <c r="A28" s="4" t="s">
        <v>58</v>
      </c>
      <c r="B28" s="18" t="s">
        <v>59</v>
      </c>
      <c r="C28" s="19"/>
      <c r="D28" s="19"/>
    </row>
  </sheetData>
  <mergeCells count="10">
    <mergeCell ref="B10:D10"/>
    <mergeCell ref="B28:D28"/>
    <mergeCell ref="B23:D23"/>
    <mergeCell ref="A12:D12"/>
    <mergeCell ref="A4:D4"/>
    <mergeCell ref="B22:D22"/>
    <mergeCell ref="A21:D21"/>
    <mergeCell ref="B26:D26"/>
    <mergeCell ref="B25:D25"/>
    <mergeCell ref="B24:D24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3" width="30" customWidth="1"/>
    <col min="4" max="4" width="32" customWidth="1"/>
    <col min="5" max="5" width="12" customWidth="1"/>
    <col min="6" max="6" width="40" customWidth="1"/>
    <col min="7" max="7" width="30" customWidth="1"/>
  </cols>
  <sheetData>
    <row r="1" spans="1:7" ht="19" x14ac:dyDescent="0.4">
      <c r="A1" s="1" t="s">
        <v>60</v>
      </c>
    </row>
    <row r="2" spans="1:7" x14ac:dyDescent="0.35">
      <c r="A2" s="2" t="s">
        <v>61</v>
      </c>
    </row>
    <row r="4" spans="1:7" x14ac:dyDescent="0.35">
      <c r="A4" s="3" t="s">
        <v>62</v>
      </c>
      <c r="B4" s="3" t="s">
        <v>7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</row>
    <row r="5" spans="1:7" x14ac:dyDescent="0.35">
      <c r="A5" s="4" t="s">
        <v>68</v>
      </c>
      <c r="B5" s="9" t="s">
        <v>69</v>
      </c>
      <c r="C5" s="9"/>
      <c r="D5" s="10" t="s">
        <v>70</v>
      </c>
      <c r="E5" s="11"/>
      <c r="F5" s="12"/>
      <c r="G5" s="13" t="str">
        <f t="shared" ref="G5:G22" si="0">IF(B5="","",A5&amp;" "&amp;B5)</f>
        <v>R1 CEO / GM</v>
      </c>
    </row>
    <row r="6" spans="1:7" x14ac:dyDescent="0.35">
      <c r="A6" s="4" t="s">
        <v>71</v>
      </c>
      <c r="B6" s="9" t="s">
        <v>72</v>
      </c>
      <c r="C6" s="9" t="s">
        <v>73</v>
      </c>
      <c r="D6" s="10" t="s">
        <v>70</v>
      </c>
      <c r="E6" s="11"/>
      <c r="F6" s="12"/>
      <c r="G6" s="13" t="str">
        <f t="shared" si="0"/>
        <v>R2 BD Director</v>
      </c>
    </row>
    <row r="7" spans="1:7" x14ac:dyDescent="0.35">
      <c r="A7" s="4" t="s">
        <v>74</v>
      </c>
      <c r="B7" s="9" t="s">
        <v>75</v>
      </c>
      <c r="C7" s="9" t="s">
        <v>76</v>
      </c>
      <c r="D7" s="10" t="s">
        <v>77</v>
      </c>
      <c r="E7" s="11"/>
      <c r="F7" s="12"/>
      <c r="G7" s="13" t="str">
        <f t="shared" si="0"/>
        <v>R3 BD Manager</v>
      </c>
    </row>
    <row r="8" spans="1:7" x14ac:dyDescent="0.35">
      <c r="A8" s="4" t="s">
        <v>78</v>
      </c>
      <c r="B8" s="9" t="s">
        <v>79</v>
      </c>
      <c r="C8" s="9" t="s">
        <v>80</v>
      </c>
      <c r="D8" s="10" t="s">
        <v>77</v>
      </c>
      <c r="E8" s="11"/>
      <c r="F8" s="12"/>
      <c r="G8" s="13" t="str">
        <f t="shared" si="0"/>
        <v>R4 BD Executive</v>
      </c>
    </row>
    <row r="9" spans="1:7" x14ac:dyDescent="0.35">
      <c r="A9" s="4" t="s">
        <v>81</v>
      </c>
      <c r="B9" s="9" t="s">
        <v>82</v>
      </c>
      <c r="C9" s="9" t="s">
        <v>76</v>
      </c>
      <c r="D9" s="10" t="s">
        <v>77</v>
      </c>
      <c r="E9" s="11"/>
      <c r="F9" s="12"/>
      <c r="G9" s="13" t="str">
        <f t="shared" si="0"/>
        <v>R5 Sales Manager (empty until hired)</v>
      </c>
    </row>
    <row r="10" spans="1:7" ht="25" x14ac:dyDescent="0.35">
      <c r="A10" s="4" t="s">
        <v>83</v>
      </c>
      <c r="B10" s="9" t="s">
        <v>84</v>
      </c>
      <c r="C10" s="9" t="s">
        <v>85</v>
      </c>
      <c r="D10" s="10" t="s">
        <v>77</v>
      </c>
      <c r="E10" s="11"/>
      <c r="F10" s="12"/>
      <c r="G10" s="13" t="str">
        <f t="shared" si="0"/>
        <v>R6 Sales Executive (empty until hired)</v>
      </c>
    </row>
    <row r="11" spans="1:7" x14ac:dyDescent="0.35">
      <c r="A11" s="4" t="s">
        <v>86</v>
      </c>
      <c r="B11" s="9" t="s">
        <v>87</v>
      </c>
      <c r="C11" s="9" t="s">
        <v>73</v>
      </c>
      <c r="D11" s="10" t="s">
        <v>70</v>
      </c>
      <c r="E11" s="11"/>
      <c r="F11" s="12"/>
      <c r="G11" s="13" t="str">
        <f t="shared" si="0"/>
        <v>R7 Head of Presales</v>
      </c>
    </row>
    <row r="12" spans="1:7" x14ac:dyDescent="0.35">
      <c r="A12" s="4" t="s">
        <v>88</v>
      </c>
      <c r="B12" s="9" t="s">
        <v>89</v>
      </c>
      <c r="C12" s="9" t="s">
        <v>90</v>
      </c>
      <c r="D12" s="10" t="s">
        <v>91</v>
      </c>
      <c r="E12" s="11"/>
      <c r="F12" s="12"/>
      <c r="G12" s="13" t="str">
        <f t="shared" si="0"/>
        <v>R8 Presales Engineer</v>
      </c>
    </row>
    <row r="13" spans="1:7" x14ac:dyDescent="0.35">
      <c r="A13" s="4" t="s">
        <v>92</v>
      </c>
      <c r="B13" s="9" t="s">
        <v>93</v>
      </c>
      <c r="C13" s="9" t="s">
        <v>73</v>
      </c>
      <c r="D13" s="10" t="s">
        <v>70</v>
      </c>
      <c r="E13" s="11"/>
      <c r="F13" s="12"/>
      <c r="G13" s="13" t="str">
        <f t="shared" si="0"/>
        <v>R9 Head of Product</v>
      </c>
    </row>
    <row r="14" spans="1:7" x14ac:dyDescent="0.35">
      <c r="A14" s="4" t="s">
        <v>94</v>
      </c>
      <c r="B14" s="9" t="s">
        <v>95</v>
      </c>
      <c r="C14" s="9" t="s">
        <v>96</v>
      </c>
      <c r="D14" s="10" t="s">
        <v>91</v>
      </c>
      <c r="E14" s="11"/>
      <c r="F14" s="12"/>
      <c r="G14" s="13" t="str">
        <f t="shared" si="0"/>
        <v>R10 Product Engineer</v>
      </c>
    </row>
    <row r="15" spans="1:7" x14ac:dyDescent="0.35">
      <c r="A15" s="4" t="s">
        <v>97</v>
      </c>
      <c r="B15" s="9" t="s">
        <v>98</v>
      </c>
      <c r="C15" s="9" t="s">
        <v>73</v>
      </c>
      <c r="D15" s="10" t="s">
        <v>70</v>
      </c>
      <c r="E15" s="11"/>
      <c r="F15" s="12"/>
      <c r="G15" s="13" t="str">
        <f t="shared" si="0"/>
        <v>R11 Head of Delivery</v>
      </c>
    </row>
    <row r="16" spans="1:7" x14ac:dyDescent="0.35">
      <c r="A16" s="4" t="s">
        <v>99</v>
      </c>
      <c r="B16" s="9" t="s">
        <v>100</v>
      </c>
      <c r="C16" s="9" t="s">
        <v>101</v>
      </c>
      <c r="D16" s="10" t="s">
        <v>91</v>
      </c>
      <c r="E16" s="11"/>
      <c r="F16" s="12"/>
      <c r="G16" s="13" t="str">
        <f t="shared" si="0"/>
        <v>R12 Delivery PM</v>
      </c>
    </row>
    <row r="17" spans="1:7" x14ac:dyDescent="0.35">
      <c r="A17" s="4" t="s">
        <v>102</v>
      </c>
      <c r="B17" s="9" t="s">
        <v>103</v>
      </c>
      <c r="C17" s="9" t="s">
        <v>73</v>
      </c>
      <c r="D17" s="10" t="s">
        <v>70</v>
      </c>
      <c r="E17" s="11"/>
      <c r="F17" s="12"/>
      <c r="G17" s="13" t="str">
        <f t="shared" si="0"/>
        <v>R13 Commercial Head / CFO</v>
      </c>
    </row>
    <row r="18" spans="1:7" x14ac:dyDescent="0.35">
      <c r="A18" s="4" t="s">
        <v>104</v>
      </c>
      <c r="B18" s="9" t="s">
        <v>105</v>
      </c>
      <c r="C18" s="9" t="s">
        <v>106</v>
      </c>
      <c r="D18" s="10" t="s">
        <v>91</v>
      </c>
      <c r="E18" s="11"/>
      <c r="F18" s="12"/>
      <c r="G18" s="13" t="str">
        <f t="shared" si="0"/>
        <v>R14 Commercial / Finance Analyst</v>
      </c>
    </row>
    <row r="19" spans="1:7" x14ac:dyDescent="0.35">
      <c r="A19" s="4" t="s">
        <v>107</v>
      </c>
      <c r="B19" s="9" t="s">
        <v>108</v>
      </c>
      <c r="C19" s="9" t="s">
        <v>73</v>
      </c>
      <c r="D19" s="10" t="s">
        <v>70</v>
      </c>
      <c r="E19" s="11"/>
      <c r="F19" s="12"/>
      <c r="G19" s="13" t="str">
        <f t="shared" si="0"/>
        <v>R15 Developer</v>
      </c>
    </row>
    <row r="20" spans="1:7" x14ac:dyDescent="0.35">
      <c r="A20" s="4" t="s">
        <v>109</v>
      </c>
      <c r="B20" s="12"/>
      <c r="C20" s="12"/>
      <c r="D20" s="11"/>
      <c r="E20" s="11"/>
      <c r="F20" s="12"/>
      <c r="G20" s="13" t="str">
        <f t="shared" si="0"/>
        <v/>
      </c>
    </row>
    <row r="21" spans="1:7" x14ac:dyDescent="0.35">
      <c r="A21" s="4" t="s">
        <v>110</v>
      </c>
      <c r="B21" s="12"/>
      <c r="C21" s="12"/>
      <c r="D21" s="11"/>
      <c r="E21" s="11"/>
      <c r="F21" s="12"/>
      <c r="G21" s="13" t="str">
        <f t="shared" si="0"/>
        <v/>
      </c>
    </row>
    <row r="22" spans="1:7" x14ac:dyDescent="0.35">
      <c r="A22" s="4" t="s">
        <v>111</v>
      </c>
      <c r="B22" s="12"/>
      <c r="C22" s="12"/>
      <c r="D22" s="11"/>
      <c r="E22" s="11"/>
      <c r="F22" s="12"/>
      <c r="G22" s="13" t="str">
        <f t="shared" si="0"/>
        <v/>
      </c>
    </row>
    <row r="24" spans="1:7" x14ac:dyDescent="0.35">
      <c r="A24" s="20" t="s">
        <v>112</v>
      </c>
      <c r="B24" s="19"/>
      <c r="C24" s="19"/>
      <c r="D24" s="19"/>
      <c r="E24" s="19"/>
      <c r="F24" s="19"/>
      <c r="G24" s="19"/>
    </row>
    <row r="25" spans="1:7" x14ac:dyDescent="0.35">
      <c r="A25" s="3" t="s">
        <v>113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66</v>
      </c>
      <c r="G25" s="3"/>
    </row>
    <row r="26" spans="1:7" ht="25" x14ac:dyDescent="0.35">
      <c r="A26" s="4" t="s">
        <v>118</v>
      </c>
      <c r="B26" s="9" t="s">
        <v>119</v>
      </c>
      <c r="C26" s="9" t="s">
        <v>120</v>
      </c>
      <c r="D26" s="9" t="s">
        <v>121</v>
      </c>
      <c r="E26" s="11"/>
      <c r="F26" s="12"/>
    </row>
    <row r="27" spans="1:7" ht="37.5" x14ac:dyDescent="0.35">
      <c r="A27" s="4" t="s">
        <v>122</v>
      </c>
      <c r="B27" s="9" t="s">
        <v>119</v>
      </c>
      <c r="C27" s="9" t="s">
        <v>123</v>
      </c>
      <c r="D27" s="9" t="s">
        <v>124</v>
      </c>
      <c r="E27" s="11"/>
      <c r="F27" s="12"/>
    </row>
    <row r="28" spans="1:7" ht="25" x14ac:dyDescent="0.35">
      <c r="A28" s="4" t="s">
        <v>125</v>
      </c>
      <c r="B28" s="9" t="s">
        <v>119</v>
      </c>
      <c r="C28" s="9" t="s">
        <v>126</v>
      </c>
      <c r="D28" s="9" t="s">
        <v>127</v>
      </c>
      <c r="E28" s="11"/>
      <c r="F28" s="12"/>
    </row>
    <row r="29" spans="1:7" ht="25" x14ac:dyDescent="0.35">
      <c r="A29" s="4" t="s">
        <v>128</v>
      </c>
      <c r="B29" s="9" t="s">
        <v>119</v>
      </c>
      <c r="C29" s="9" t="s">
        <v>129</v>
      </c>
      <c r="D29" s="9" t="s">
        <v>130</v>
      </c>
      <c r="E29" s="11"/>
      <c r="F29" s="12"/>
    </row>
    <row r="31" spans="1:7" x14ac:dyDescent="0.35">
      <c r="A31" s="20" t="s">
        <v>131</v>
      </c>
      <c r="B31" s="19"/>
      <c r="C31" s="19"/>
      <c r="D31" s="19"/>
      <c r="E31" s="19"/>
      <c r="F31" s="19"/>
      <c r="G31" s="19"/>
    </row>
    <row r="32" spans="1:7" x14ac:dyDescent="0.35">
      <c r="A32" s="3" t="s">
        <v>113</v>
      </c>
      <c r="B32" s="3" t="s">
        <v>132</v>
      </c>
      <c r="C32" s="3" t="s">
        <v>133</v>
      </c>
      <c r="D32" s="3" t="s">
        <v>134</v>
      </c>
      <c r="E32" s="3" t="s">
        <v>117</v>
      </c>
      <c r="F32" s="3" t="s">
        <v>66</v>
      </c>
      <c r="G32" s="3"/>
    </row>
    <row r="33" spans="1:6" ht="25" x14ac:dyDescent="0.35">
      <c r="A33" s="4" t="s">
        <v>135</v>
      </c>
      <c r="B33" s="9" t="s">
        <v>136</v>
      </c>
      <c r="C33" s="9" t="s">
        <v>137</v>
      </c>
      <c r="D33" s="9" t="s">
        <v>138</v>
      </c>
      <c r="E33" s="11"/>
      <c r="F33" s="12"/>
    </row>
    <row r="34" spans="1:6" ht="37.5" x14ac:dyDescent="0.35">
      <c r="A34" s="4" t="s">
        <v>139</v>
      </c>
      <c r="B34" s="9" t="s">
        <v>140</v>
      </c>
      <c r="C34" s="9" t="s">
        <v>141</v>
      </c>
      <c r="D34" s="9" t="s">
        <v>142</v>
      </c>
      <c r="E34" s="11"/>
      <c r="F34" s="12"/>
    </row>
    <row r="35" spans="1:6" x14ac:dyDescent="0.35">
      <c r="A35" s="4" t="s">
        <v>143</v>
      </c>
      <c r="B35" s="9" t="s">
        <v>144</v>
      </c>
      <c r="C35" s="9" t="s">
        <v>145</v>
      </c>
      <c r="D35" s="9" t="s">
        <v>146</v>
      </c>
      <c r="E35" s="11"/>
      <c r="F35" s="12"/>
    </row>
    <row r="36" spans="1:6" ht="25" x14ac:dyDescent="0.35">
      <c r="A36" s="4" t="s">
        <v>147</v>
      </c>
      <c r="B36" s="9" t="s">
        <v>148</v>
      </c>
      <c r="C36" s="9" t="s">
        <v>149</v>
      </c>
      <c r="D36" s="9" t="s">
        <v>150</v>
      </c>
      <c r="E36" s="11"/>
      <c r="F36" s="12"/>
    </row>
  </sheetData>
  <mergeCells count="2">
    <mergeCell ref="A31:G31"/>
    <mergeCell ref="A24:G24"/>
  </mergeCells>
  <dataValidations count="5">
    <dataValidation type="list" allowBlank="1" sqref="C5:C22" xr:uid="{00000000-0002-0000-0100-000000000000}">
      <formula1>RoleList</formula1>
    </dataValidation>
    <dataValidation type="list" allowBlank="1" errorTitle="Not in the list" error="Pick from the list, or leave blank." sqref="D5:D22" xr:uid="{00000000-0002-0000-0100-000001000000}">
      <formula1>"Yes,No,—"</formula1>
    </dataValidation>
    <dataValidation type="list" allowBlank="1" errorTitle="Not in the list" error="Pick from the list, or leave blank." sqref="E5:E22" xr:uid="{00000000-0002-0000-0100-000002000000}">
      <formula1>"Keep,Rename,Remove"</formula1>
    </dataValidation>
    <dataValidation type="list" allowBlank="1" errorTitle="Not in the list" error="Pick from the list, or leave blank." sqref="E26:E29" xr:uid="{00000000-0002-0000-0100-000003000000}">
      <formula1>"Agree,Change (see notes),Remove"</formula1>
    </dataValidation>
    <dataValidation type="list" allowBlank="1" errorTitle="Not in the list" error="Pick from the list, or leave blank." sqref="E33:E36" xr:uid="{00000000-0002-0000-0100-000004000000}">
      <formula1>"Agree,Change (see notes)"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26" customWidth="1"/>
    <col min="3" max="3" width="34" customWidth="1"/>
    <col min="4" max="4" width="62" customWidth="1"/>
    <col min="5" max="5" width="12" customWidth="1"/>
    <col min="6" max="6" width="34" customWidth="1"/>
    <col min="7" max="7" width="28" customWidth="1"/>
  </cols>
  <sheetData>
    <row r="1" spans="1:7" ht="19" x14ac:dyDescent="0.4">
      <c r="A1" s="1" t="s">
        <v>151</v>
      </c>
    </row>
    <row r="2" spans="1:7" x14ac:dyDescent="0.35">
      <c r="A2" s="2" t="s">
        <v>152</v>
      </c>
    </row>
    <row r="4" spans="1:7" x14ac:dyDescent="0.35">
      <c r="A4" s="3" t="s">
        <v>62</v>
      </c>
      <c r="B4" s="3" t="s">
        <v>11</v>
      </c>
      <c r="C4" s="3" t="s">
        <v>153</v>
      </c>
      <c r="D4" s="3" t="s">
        <v>154</v>
      </c>
      <c r="E4" s="3" t="s">
        <v>65</v>
      </c>
      <c r="F4" s="3" t="s">
        <v>155</v>
      </c>
      <c r="G4" s="3" t="s">
        <v>67</v>
      </c>
    </row>
    <row r="5" spans="1:7" x14ac:dyDescent="0.35">
      <c r="A5" s="4" t="s">
        <v>156</v>
      </c>
      <c r="B5" s="7" t="s">
        <v>157</v>
      </c>
      <c r="C5" s="9" t="s">
        <v>158</v>
      </c>
      <c r="D5" s="9" t="s">
        <v>159</v>
      </c>
      <c r="E5" s="11"/>
      <c r="F5" s="12"/>
      <c r="G5" s="13" t="str">
        <f t="shared" ref="G5:G15" si="0">IF(B5="","",A5&amp;" "&amp;B5)</f>
        <v>P1 Administrator</v>
      </c>
    </row>
    <row r="6" spans="1:7" ht="25" x14ac:dyDescent="0.35">
      <c r="A6" s="4" t="s">
        <v>160</v>
      </c>
      <c r="B6" s="7" t="s">
        <v>161</v>
      </c>
      <c r="C6" s="9" t="s">
        <v>162</v>
      </c>
      <c r="D6" s="9" t="s">
        <v>163</v>
      </c>
      <c r="E6" s="11"/>
      <c r="F6" s="12"/>
      <c r="G6" s="13" t="str">
        <f t="shared" si="0"/>
        <v>P2 BD Leadership</v>
      </c>
    </row>
    <row r="7" spans="1:7" ht="25" x14ac:dyDescent="0.35">
      <c r="A7" s="4" t="s">
        <v>164</v>
      </c>
      <c r="B7" s="7" t="s">
        <v>79</v>
      </c>
      <c r="C7" s="9" t="s">
        <v>79</v>
      </c>
      <c r="D7" s="9" t="s">
        <v>165</v>
      </c>
      <c r="E7" s="11"/>
      <c r="F7" s="12"/>
      <c r="G7" s="13" t="str">
        <f t="shared" si="0"/>
        <v>P3 BD Executive</v>
      </c>
    </row>
    <row r="8" spans="1:7" ht="25" x14ac:dyDescent="0.35">
      <c r="A8" s="4" t="s">
        <v>166</v>
      </c>
      <c r="B8" s="7" t="s">
        <v>167</v>
      </c>
      <c r="C8" s="9" t="s">
        <v>168</v>
      </c>
      <c r="D8" s="9" t="s">
        <v>169</v>
      </c>
      <c r="E8" s="11"/>
      <c r="F8" s="12"/>
      <c r="G8" s="13" t="str">
        <f t="shared" si="0"/>
        <v>P4 Sales (dormant)</v>
      </c>
    </row>
    <row r="9" spans="1:7" ht="25" x14ac:dyDescent="0.35">
      <c r="A9" s="4" t="s">
        <v>170</v>
      </c>
      <c r="B9" s="7" t="s">
        <v>171</v>
      </c>
      <c r="C9" s="9" t="s">
        <v>172</v>
      </c>
      <c r="D9" s="9" t="s">
        <v>173</v>
      </c>
      <c r="E9" s="11"/>
      <c r="F9" s="12"/>
      <c r="G9" s="13" t="str">
        <f t="shared" si="0"/>
        <v>P5 Presales</v>
      </c>
    </row>
    <row r="10" spans="1:7" ht="37.5" x14ac:dyDescent="0.35">
      <c r="A10" s="4" t="s">
        <v>174</v>
      </c>
      <c r="B10" s="7" t="s">
        <v>175</v>
      </c>
      <c r="C10" s="9" t="s">
        <v>176</v>
      </c>
      <c r="D10" s="9" t="s">
        <v>177</v>
      </c>
      <c r="E10" s="11"/>
      <c r="F10" s="12"/>
      <c r="G10" s="13" t="str">
        <f t="shared" si="0"/>
        <v>P6 Product</v>
      </c>
    </row>
    <row r="11" spans="1:7" ht="25" x14ac:dyDescent="0.35">
      <c r="A11" s="4" t="s">
        <v>178</v>
      </c>
      <c r="B11" s="7" t="s">
        <v>179</v>
      </c>
      <c r="C11" s="9" t="s">
        <v>180</v>
      </c>
      <c r="D11" s="9" t="s">
        <v>181</v>
      </c>
      <c r="E11" s="11"/>
      <c r="F11" s="12"/>
      <c r="G11" s="13" t="str">
        <f t="shared" si="0"/>
        <v>P7 Delivery</v>
      </c>
    </row>
    <row r="12" spans="1:7" ht="25" x14ac:dyDescent="0.35">
      <c r="A12" s="4" t="s">
        <v>182</v>
      </c>
      <c r="B12" s="7" t="s">
        <v>183</v>
      </c>
      <c r="C12" s="9" t="s">
        <v>184</v>
      </c>
      <c r="D12" s="9" t="s">
        <v>185</v>
      </c>
      <c r="E12" s="11"/>
      <c r="F12" s="12"/>
      <c r="G12" s="13" t="str">
        <f t="shared" si="0"/>
        <v>P8 Commercial &amp; Finance</v>
      </c>
    </row>
    <row r="13" spans="1:7" ht="25" x14ac:dyDescent="0.35">
      <c r="A13" s="4" t="s">
        <v>186</v>
      </c>
      <c r="B13" s="7" t="s">
        <v>108</v>
      </c>
      <c r="C13" s="9" t="s">
        <v>108</v>
      </c>
      <c r="D13" s="9" t="s">
        <v>187</v>
      </c>
      <c r="E13" s="11"/>
      <c r="F13" s="12"/>
      <c r="G13" s="13" t="str">
        <f t="shared" si="0"/>
        <v>P9 Developer</v>
      </c>
    </row>
    <row r="14" spans="1:7" x14ac:dyDescent="0.35">
      <c r="A14" s="4" t="s">
        <v>188</v>
      </c>
      <c r="B14" s="6"/>
      <c r="C14" s="12"/>
      <c r="D14" s="12"/>
      <c r="E14" s="11"/>
      <c r="F14" s="12"/>
      <c r="G14" s="13" t="str">
        <f t="shared" si="0"/>
        <v/>
      </c>
    </row>
    <row r="15" spans="1:7" x14ac:dyDescent="0.35">
      <c r="A15" s="4" t="s">
        <v>189</v>
      </c>
      <c r="B15" s="6"/>
      <c r="C15" s="12"/>
      <c r="D15" s="12"/>
      <c r="E15" s="11"/>
      <c r="F15" s="12"/>
      <c r="G15" s="13" t="str">
        <f t="shared" si="0"/>
        <v/>
      </c>
    </row>
    <row r="17" spans="1:6" ht="30" customHeight="1" x14ac:dyDescent="0.35">
      <c r="A17" s="4" t="s">
        <v>190</v>
      </c>
      <c r="B17" s="18" t="s">
        <v>191</v>
      </c>
      <c r="C17" s="19"/>
      <c r="D17" s="19"/>
      <c r="E17" s="19"/>
      <c r="F17" s="19"/>
    </row>
  </sheetData>
  <mergeCells count="1">
    <mergeCell ref="B17:F17"/>
  </mergeCells>
  <dataValidations count="1">
    <dataValidation type="list" allowBlank="1" errorTitle="Not in the list" error="Pick from the list, or leave blank." sqref="E5:E15" xr:uid="{00000000-0002-0000-0200-000000000000}">
      <formula1>"Keep,Rename,Remove"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44" customWidth="1"/>
    <col min="3" max="11" width="14" customWidth="1"/>
    <col min="12" max="12" width="34" customWidth="1"/>
  </cols>
  <sheetData>
    <row r="1" spans="1:12" ht="19" x14ac:dyDescent="0.4">
      <c r="A1" s="1" t="s">
        <v>192</v>
      </c>
    </row>
    <row r="2" spans="1:12" x14ac:dyDescent="0.35">
      <c r="A2" s="2" t="s">
        <v>193</v>
      </c>
    </row>
    <row r="4" spans="1:12" ht="42" customHeight="1" x14ac:dyDescent="0.35">
      <c r="A4" s="3" t="s">
        <v>194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201</v>
      </c>
      <c r="I4" s="3" t="s">
        <v>202</v>
      </c>
      <c r="J4" s="3" t="s">
        <v>203</v>
      </c>
      <c r="K4" s="3" t="s">
        <v>204</v>
      </c>
      <c r="L4" s="3" t="s">
        <v>66</v>
      </c>
    </row>
    <row r="5" spans="1:12" x14ac:dyDescent="0.35">
      <c r="A5" s="20" t="s">
        <v>205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35">
      <c r="A6" s="4" t="s">
        <v>206</v>
      </c>
      <c r="B6" s="5" t="s">
        <v>207</v>
      </c>
      <c r="C6" s="10" t="s">
        <v>208</v>
      </c>
      <c r="D6" s="10" t="s">
        <v>208</v>
      </c>
      <c r="E6" s="10" t="s">
        <v>208</v>
      </c>
      <c r="F6" s="10" t="s">
        <v>208</v>
      </c>
      <c r="G6" s="10" t="s">
        <v>208</v>
      </c>
      <c r="H6" s="10" t="s">
        <v>208</v>
      </c>
      <c r="I6" s="10" t="s">
        <v>209</v>
      </c>
      <c r="J6" s="10" t="s">
        <v>208</v>
      </c>
      <c r="K6" s="10" t="s">
        <v>208</v>
      </c>
      <c r="L6" s="12"/>
    </row>
    <row r="7" spans="1:12" x14ac:dyDescent="0.35">
      <c r="A7" s="4" t="s">
        <v>206</v>
      </c>
      <c r="B7" s="5" t="s">
        <v>210</v>
      </c>
      <c r="C7" s="10" t="s">
        <v>208</v>
      </c>
      <c r="D7" s="10" t="s">
        <v>208</v>
      </c>
      <c r="E7" s="10" t="s">
        <v>208</v>
      </c>
      <c r="F7" s="10" t="s">
        <v>208</v>
      </c>
      <c r="G7" s="10" t="s">
        <v>209</v>
      </c>
      <c r="H7" s="10" t="s">
        <v>209</v>
      </c>
      <c r="I7" s="10" t="s">
        <v>209</v>
      </c>
      <c r="J7" s="10" t="s">
        <v>209</v>
      </c>
      <c r="K7" s="10" t="s">
        <v>209</v>
      </c>
      <c r="L7" s="12"/>
    </row>
    <row r="8" spans="1:12" x14ac:dyDescent="0.35">
      <c r="A8" s="4" t="s">
        <v>206</v>
      </c>
      <c r="B8" s="5" t="s">
        <v>211</v>
      </c>
      <c r="C8" s="10" t="s">
        <v>208</v>
      </c>
      <c r="D8" s="10" t="s">
        <v>208</v>
      </c>
      <c r="E8" s="10" t="s">
        <v>208</v>
      </c>
      <c r="F8" s="10" t="s">
        <v>208</v>
      </c>
      <c r="G8" s="10" t="s">
        <v>208</v>
      </c>
      <c r="H8" s="10" t="s">
        <v>208</v>
      </c>
      <c r="I8" s="10" t="s">
        <v>209</v>
      </c>
      <c r="J8" s="10" t="s">
        <v>209</v>
      </c>
      <c r="K8" s="10" t="s">
        <v>209</v>
      </c>
      <c r="L8" s="12"/>
    </row>
    <row r="9" spans="1:12" x14ac:dyDescent="0.35">
      <c r="A9" s="4" t="s">
        <v>206</v>
      </c>
      <c r="B9" s="5" t="s">
        <v>212</v>
      </c>
      <c r="C9" s="10" t="s">
        <v>208</v>
      </c>
      <c r="D9" s="10" t="s">
        <v>209</v>
      </c>
      <c r="E9" s="10" t="s">
        <v>209</v>
      </c>
      <c r="F9" s="10" t="s">
        <v>209</v>
      </c>
      <c r="G9" s="10" t="s">
        <v>209</v>
      </c>
      <c r="H9" s="10" t="s">
        <v>209</v>
      </c>
      <c r="I9" s="10" t="s">
        <v>209</v>
      </c>
      <c r="J9" s="10" t="s">
        <v>209</v>
      </c>
      <c r="K9" s="10" t="s">
        <v>209</v>
      </c>
      <c r="L9" s="12"/>
    </row>
    <row r="10" spans="1:12" x14ac:dyDescent="0.35">
      <c r="A10" s="4" t="s">
        <v>213</v>
      </c>
      <c r="B10" s="5" t="s">
        <v>207</v>
      </c>
      <c r="C10" s="10" t="s">
        <v>208</v>
      </c>
      <c r="D10" s="10" t="s">
        <v>208</v>
      </c>
      <c r="E10" s="10" t="s">
        <v>208</v>
      </c>
      <c r="F10" s="10" t="s">
        <v>208</v>
      </c>
      <c r="G10" s="10" t="s">
        <v>208</v>
      </c>
      <c r="H10" s="10" t="s">
        <v>209</v>
      </c>
      <c r="I10" s="10" t="s">
        <v>208</v>
      </c>
      <c r="J10" s="10" t="s">
        <v>208</v>
      </c>
      <c r="K10" s="10" t="s">
        <v>208</v>
      </c>
      <c r="L10" s="12"/>
    </row>
    <row r="11" spans="1:12" x14ac:dyDescent="0.35">
      <c r="A11" s="4" t="s">
        <v>213</v>
      </c>
      <c r="B11" s="5" t="s">
        <v>211</v>
      </c>
      <c r="C11" s="10" t="s">
        <v>208</v>
      </c>
      <c r="D11" s="10" t="s">
        <v>208</v>
      </c>
      <c r="E11" s="10" t="s">
        <v>208</v>
      </c>
      <c r="F11" s="10" t="s">
        <v>208</v>
      </c>
      <c r="G11" s="10" t="s">
        <v>208</v>
      </c>
      <c r="H11" s="10" t="s">
        <v>209</v>
      </c>
      <c r="I11" s="10" t="s">
        <v>209</v>
      </c>
      <c r="J11" s="10" t="s">
        <v>209</v>
      </c>
      <c r="K11" s="10" t="s">
        <v>209</v>
      </c>
      <c r="L11" s="12"/>
    </row>
    <row r="12" spans="1:12" x14ac:dyDescent="0.35">
      <c r="A12" s="4" t="s">
        <v>213</v>
      </c>
      <c r="B12" s="5" t="s">
        <v>212</v>
      </c>
      <c r="C12" s="10" t="s">
        <v>208</v>
      </c>
      <c r="D12" s="10" t="s">
        <v>209</v>
      </c>
      <c r="E12" s="10" t="s">
        <v>209</v>
      </c>
      <c r="F12" s="10" t="s">
        <v>209</v>
      </c>
      <c r="G12" s="10" t="s">
        <v>209</v>
      </c>
      <c r="H12" s="10" t="s">
        <v>209</v>
      </c>
      <c r="I12" s="10" t="s">
        <v>209</v>
      </c>
      <c r="J12" s="10" t="s">
        <v>209</v>
      </c>
      <c r="K12" s="10" t="s">
        <v>209</v>
      </c>
      <c r="L12" s="12"/>
    </row>
    <row r="13" spans="1:12" x14ac:dyDescent="0.35">
      <c r="A13" s="4" t="s">
        <v>214</v>
      </c>
      <c r="B13" s="5" t="s">
        <v>207</v>
      </c>
      <c r="C13" s="10" t="s">
        <v>208</v>
      </c>
      <c r="D13" s="10" t="s">
        <v>208</v>
      </c>
      <c r="E13" s="10" t="s">
        <v>208</v>
      </c>
      <c r="F13" s="10" t="s">
        <v>208</v>
      </c>
      <c r="G13" s="10" t="s">
        <v>208</v>
      </c>
      <c r="H13" s="10" t="s">
        <v>209</v>
      </c>
      <c r="I13" s="10" t="s">
        <v>208</v>
      </c>
      <c r="J13" s="10" t="s">
        <v>208</v>
      </c>
      <c r="K13" s="10" t="s">
        <v>208</v>
      </c>
      <c r="L13" s="12"/>
    </row>
    <row r="14" spans="1:12" x14ac:dyDescent="0.35">
      <c r="A14" s="4" t="s">
        <v>214</v>
      </c>
      <c r="B14" s="5" t="s">
        <v>211</v>
      </c>
      <c r="C14" s="10" t="s">
        <v>208</v>
      </c>
      <c r="D14" s="10" t="s">
        <v>208</v>
      </c>
      <c r="E14" s="10" t="s">
        <v>208</v>
      </c>
      <c r="F14" s="10" t="s">
        <v>208</v>
      </c>
      <c r="G14" s="10" t="s">
        <v>208</v>
      </c>
      <c r="H14" s="10" t="s">
        <v>209</v>
      </c>
      <c r="I14" s="10" t="s">
        <v>208</v>
      </c>
      <c r="J14" s="10" t="s">
        <v>208</v>
      </c>
      <c r="K14" s="10" t="s">
        <v>209</v>
      </c>
      <c r="L14" s="12"/>
    </row>
    <row r="15" spans="1:12" x14ac:dyDescent="0.35">
      <c r="A15" s="4" t="s">
        <v>214</v>
      </c>
      <c r="B15" s="5" t="s">
        <v>212</v>
      </c>
      <c r="C15" s="10" t="s">
        <v>208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2"/>
    </row>
    <row r="16" spans="1:12" x14ac:dyDescent="0.35">
      <c r="A16" s="4" t="s">
        <v>215</v>
      </c>
      <c r="B16" s="5" t="s">
        <v>207</v>
      </c>
      <c r="C16" s="10" t="s">
        <v>208</v>
      </c>
      <c r="D16" s="10" t="s">
        <v>208</v>
      </c>
      <c r="E16" s="10" t="s">
        <v>208</v>
      </c>
      <c r="F16" s="10" t="s">
        <v>208</v>
      </c>
      <c r="G16" s="10" t="s">
        <v>208</v>
      </c>
      <c r="H16" s="10" t="s">
        <v>208</v>
      </c>
      <c r="I16" s="10" t="s">
        <v>208</v>
      </c>
      <c r="J16" s="10" t="s">
        <v>208</v>
      </c>
      <c r="K16" s="10" t="s">
        <v>208</v>
      </c>
      <c r="L16" s="12"/>
    </row>
    <row r="17" spans="1:12" x14ac:dyDescent="0.35">
      <c r="A17" s="4" t="s">
        <v>215</v>
      </c>
      <c r="B17" s="5" t="s">
        <v>210</v>
      </c>
      <c r="C17" s="10" t="s">
        <v>208</v>
      </c>
      <c r="D17" s="10" t="s">
        <v>208</v>
      </c>
      <c r="E17" s="10" t="s">
        <v>208</v>
      </c>
      <c r="F17" s="10" t="s">
        <v>208</v>
      </c>
      <c r="G17" s="10" t="s">
        <v>208</v>
      </c>
      <c r="H17" s="10" t="s">
        <v>209</v>
      </c>
      <c r="I17" s="10" t="s">
        <v>209</v>
      </c>
      <c r="J17" s="10" t="s">
        <v>209</v>
      </c>
      <c r="K17" s="10" t="s">
        <v>209</v>
      </c>
      <c r="L17" s="12"/>
    </row>
    <row r="18" spans="1:12" x14ac:dyDescent="0.35">
      <c r="A18" s="4" t="s">
        <v>215</v>
      </c>
      <c r="B18" s="5" t="s">
        <v>211</v>
      </c>
      <c r="C18" s="10" t="s">
        <v>208</v>
      </c>
      <c r="D18" s="10" t="s">
        <v>208</v>
      </c>
      <c r="E18" s="10" t="s">
        <v>208</v>
      </c>
      <c r="F18" s="10" t="s">
        <v>208</v>
      </c>
      <c r="G18" s="10" t="s">
        <v>208</v>
      </c>
      <c r="H18" s="10" t="s">
        <v>209</v>
      </c>
      <c r="I18" s="10" t="s">
        <v>209</v>
      </c>
      <c r="J18" s="10" t="s">
        <v>209</v>
      </c>
      <c r="K18" s="10" t="s">
        <v>209</v>
      </c>
      <c r="L18" s="12"/>
    </row>
    <row r="19" spans="1:12" x14ac:dyDescent="0.35">
      <c r="A19" s="4" t="s">
        <v>215</v>
      </c>
      <c r="B19" s="5" t="s">
        <v>212</v>
      </c>
      <c r="C19" s="10" t="s">
        <v>208</v>
      </c>
      <c r="D19" s="10" t="s">
        <v>209</v>
      </c>
      <c r="E19" s="10" t="s">
        <v>209</v>
      </c>
      <c r="F19" s="10" t="s">
        <v>209</v>
      </c>
      <c r="G19" s="10" t="s">
        <v>209</v>
      </c>
      <c r="H19" s="10" t="s">
        <v>209</v>
      </c>
      <c r="I19" s="10" t="s">
        <v>209</v>
      </c>
      <c r="J19" s="10" t="s">
        <v>209</v>
      </c>
      <c r="K19" s="10" t="s">
        <v>209</v>
      </c>
      <c r="L19" s="12"/>
    </row>
    <row r="20" spans="1:12" x14ac:dyDescent="0.35">
      <c r="A20" s="4" t="s">
        <v>216</v>
      </c>
      <c r="B20" s="5" t="s">
        <v>207</v>
      </c>
      <c r="C20" s="10" t="s">
        <v>208</v>
      </c>
      <c r="D20" s="10" t="s">
        <v>208</v>
      </c>
      <c r="E20" s="10" t="s">
        <v>208</v>
      </c>
      <c r="F20" s="10" t="s">
        <v>208</v>
      </c>
      <c r="G20" s="10" t="s">
        <v>208</v>
      </c>
      <c r="H20" s="10" t="s">
        <v>208</v>
      </c>
      <c r="I20" s="10" t="s">
        <v>208</v>
      </c>
      <c r="J20" s="10" t="s">
        <v>208</v>
      </c>
      <c r="K20" s="10" t="s">
        <v>208</v>
      </c>
      <c r="L20" s="12"/>
    </row>
    <row r="21" spans="1:12" x14ac:dyDescent="0.35">
      <c r="A21" s="4" t="s">
        <v>216</v>
      </c>
      <c r="B21" s="5" t="s">
        <v>210</v>
      </c>
      <c r="C21" s="10" t="s">
        <v>208</v>
      </c>
      <c r="D21" s="10" t="s">
        <v>208</v>
      </c>
      <c r="E21" s="10" t="s">
        <v>208</v>
      </c>
      <c r="F21" s="10" t="s">
        <v>208</v>
      </c>
      <c r="G21" s="10" t="s">
        <v>208</v>
      </c>
      <c r="H21" s="10" t="s">
        <v>208</v>
      </c>
      <c r="I21" s="10" t="s">
        <v>208</v>
      </c>
      <c r="J21" s="10" t="s">
        <v>209</v>
      </c>
      <c r="K21" s="10" t="s">
        <v>209</v>
      </c>
      <c r="L21" s="12"/>
    </row>
    <row r="22" spans="1:12" x14ac:dyDescent="0.35">
      <c r="A22" s="4" t="s">
        <v>216</v>
      </c>
      <c r="B22" s="5" t="s">
        <v>211</v>
      </c>
      <c r="C22" s="10" t="s">
        <v>208</v>
      </c>
      <c r="D22" s="10" t="s">
        <v>208</v>
      </c>
      <c r="E22" s="10" t="s">
        <v>208</v>
      </c>
      <c r="F22" s="10" t="s">
        <v>208</v>
      </c>
      <c r="G22" s="10" t="s">
        <v>208</v>
      </c>
      <c r="H22" s="10" t="s">
        <v>208</v>
      </c>
      <c r="I22" s="10" t="s">
        <v>208</v>
      </c>
      <c r="J22" s="10" t="s">
        <v>209</v>
      </c>
      <c r="K22" s="10" t="s">
        <v>209</v>
      </c>
      <c r="L22" s="12"/>
    </row>
    <row r="23" spans="1:12" x14ac:dyDescent="0.35">
      <c r="A23" s="4" t="s">
        <v>216</v>
      </c>
      <c r="B23" s="5" t="s">
        <v>212</v>
      </c>
      <c r="C23" s="10" t="s">
        <v>208</v>
      </c>
      <c r="D23" s="10" t="s">
        <v>209</v>
      </c>
      <c r="E23" s="10" t="s">
        <v>209</v>
      </c>
      <c r="F23" s="10" t="s">
        <v>209</v>
      </c>
      <c r="G23" s="10" t="s">
        <v>209</v>
      </c>
      <c r="H23" s="10" t="s">
        <v>209</v>
      </c>
      <c r="I23" s="10" t="s">
        <v>209</v>
      </c>
      <c r="J23" s="10" t="s">
        <v>209</v>
      </c>
      <c r="K23" s="10" t="s">
        <v>209</v>
      </c>
      <c r="L23" s="12"/>
    </row>
    <row r="24" spans="1:12" ht="26" x14ac:dyDescent="0.35">
      <c r="A24" s="4" t="s">
        <v>217</v>
      </c>
      <c r="B24" s="5" t="s">
        <v>207</v>
      </c>
      <c r="C24" s="10" t="s">
        <v>208</v>
      </c>
      <c r="D24" s="10" t="s">
        <v>208</v>
      </c>
      <c r="E24" s="10" t="s">
        <v>208</v>
      </c>
      <c r="F24" s="10" t="s">
        <v>208</v>
      </c>
      <c r="G24" s="10" t="s">
        <v>208</v>
      </c>
      <c r="H24" s="10" t="s">
        <v>209</v>
      </c>
      <c r="I24" s="10" t="s">
        <v>208</v>
      </c>
      <c r="J24" s="10" t="s">
        <v>208</v>
      </c>
      <c r="K24" s="10" t="s">
        <v>208</v>
      </c>
      <c r="L24" s="12"/>
    </row>
    <row r="25" spans="1:12" ht="26" x14ac:dyDescent="0.35">
      <c r="A25" s="4" t="s">
        <v>217</v>
      </c>
      <c r="B25" s="5" t="s">
        <v>210</v>
      </c>
      <c r="C25" s="10" t="s">
        <v>208</v>
      </c>
      <c r="D25" s="10" t="s">
        <v>208</v>
      </c>
      <c r="E25" s="10" t="s">
        <v>208</v>
      </c>
      <c r="F25" s="10" t="s">
        <v>208</v>
      </c>
      <c r="G25" s="10" t="s">
        <v>209</v>
      </c>
      <c r="H25" s="10" t="s">
        <v>209</v>
      </c>
      <c r="I25" s="10" t="s">
        <v>209</v>
      </c>
      <c r="J25" s="10" t="s">
        <v>209</v>
      </c>
      <c r="K25" s="10" t="s">
        <v>209</v>
      </c>
      <c r="L25" s="12"/>
    </row>
    <row r="26" spans="1:12" ht="26" x14ac:dyDescent="0.35">
      <c r="A26" s="4" t="s">
        <v>217</v>
      </c>
      <c r="B26" s="5" t="s">
        <v>211</v>
      </c>
      <c r="C26" s="10" t="s">
        <v>208</v>
      </c>
      <c r="D26" s="10" t="s">
        <v>208</v>
      </c>
      <c r="E26" s="10" t="s">
        <v>208</v>
      </c>
      <c r="F26" s="10" t="s">
        <v>208</v>
      </c>
      <c r="G26" s="10" t="s">
        <v>209</v>
      </c>
      <c r="H26" s="10" t="s">
        <v>209</v>
      </c>
      <c r="I26" s="10" t="s">
        <v>209</v>
      </c>
      <c r="J26" s="10" t="s">
        <v>209</v>
      </c>
      <c r="K26" s="10" t="s">
        <v>209</v>
      </c>
      <c r="L26" s="12"/>
    </row>
    <row r="27" spans="1:12" ht="26" x14ac:dyDescent="0.35">
      <c r="A27" s="4" t="s">
        <v>217</v>
      </c>
      <c r="B27" s="5" t="s">
        <v>212</v>
      </c>
      <c r="C27" s="10" t="s">
        <v>208</v>
      </c>
      <c r="D27" s="10" t="s">
        <v>209</v>
      </c>
      <c r="E27" s="10" t="s">
        <v>209</v>
      </c>
      <c r="F27" s="10" t="s">
        <v>209</v>
      </c>
      <c r="G27" s="10" t="s">
        <v>209</v>
      </c>
      <c r="H27" s="10" t="s">
        <v>209</v>
      </c>
      <c r="I27" s="10" t="s">
        <v>209</v>
      </c>
      <c r="J27" s="10" t="s">
        <v>209</v>
      </c>
      <c r="K27" s="10" t="s">
        <v>209</v>
      </c>
      <c r="L27" s="12"/>
    </row>
    <row r="29" spans="1:12" x14ac:dyDescent="0.35">
      <c r="A29" s="20" t="s">
        <v>218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x14ac:dyDescent="0.35">
      <c r="A30" s="4" t="s">
        <v>219</v>
      </c>
      <c r="B30" s="5" t="s">
        <v>220</v>
      </c>
      <c r="C30" s="10" t="s">
        <v>208</v>
      </c>
      <c r="D30" s="10" t="s">
        <v>208</v>
      </c>
      <c r="E30" s="10" t="s">
        <v>209</v>
      </c>
      <c r="F30" s="10" t="s">
        <v>209</v>
      </c>
      <c r="G30" s="10" t="s">
        <v>209</v>
      </c>
      <c r="H30" s="10" t="s">
        <v>209</v>
      </c>
      <c r="I30" s="10" t="s">
        <v>209</v>
      </c>
      <c r="J30" s="10" t="s">
        <v>209</v>
      </c>
      <c r="K30" s="10" t="s">
        <v>209</v>
      </c>
      <c r="L30" s="12"/>
    </row>
    <row r="31" spans="1:12" x14ac:dyDescent="0.35">
      <c r="A31" s="4" t="s">
        <v>219</v>
      </c>
      <c r="B31" s="5" t="s">
        <v>221</v>
      </c>
      <c r="C31" s="10" t="s">
        <v>208</v>
      </c>
      <c r="D31" s="10" t="s">
        <v>208</v>
      </c>
      <c r="E31" s="10" t="s">
        <v>209</v>
      </c>
      <c r="F31" s="10" t="s">
        <v>209</v>
      </c>
      <c r="G31" s="10" t="s">
        <v>209</v>
      </c>
      <c r="H31" s="10" t="s">
        <v>209</v>
      </c>
      <c r="I31" s="10" t="s">
        <v>209</v>
      </c>
      <c r="J31" s="10" t="s">
        <v>208</v>
      </c>
      <c r="K31" s="10" t="s">
        <v>209</v>
      </c>
      <c r="L31" s="12"/>
    </row>
    <row r="32" spans="1:12" x14ac:dyDescent="0.35">
      <c r="A32" s="4" t="s">
        <v>222</v>
      </c>
      <c r="B32" s="5" t="s">
        <v>223</v>
      </c>
      <c r="C32" s="10" t="s">
        <v>208</v>
      </c>
      <c r="D32" s="10" t="s">
        <v>208</v>
      </c>
      <c r="E32" s="10" t="s">
        <v>209</v>
      </c>
      <c r="F32" s="10" t="s">
        <v>209</v>
      </c>
      <c r="G32" s="10" t="s">
        <v>209</v>
      </c>
      <c r="H32" s="10" t="s">
        <v>209</v>
      </c>
      <c r="I32" s="10" t="s">
        <v>209</v>
      </c>
      <c r="J32" s="10" t="s">
        <v>209</v>
      </c>
      <c r="K32" s="10" t="s">
        <v>209</v>
      </c>
      <c r="L32" s="12"/>
    </row>
    <row r="33" spans="1:12" x14ac:dyDescent="0.35">
      <c r="A33" s="4" t="s">
        <v>222</v>
      </c>
      <c r="B33" s="5" t="s">
        <v>224</v>
      </c>
      <c r="C33" s="10" t="s">
        <v>208</v>
      </c>
      <c r="D33" s="10" t="s">
        <v>208</v>
      </c>
      <c r="E33" s="10" t="s">
        <v>209</v>
      </c>
      <c r="F33" s="10" t="s">
        <v>209</v>
      </c>
      <c r="G33" s="10" t="s">
        <v>209</v>
      </c>
      <c r="H33" s="10" t="s">
        <v>209</v>
      </c>
      <c r="I33" s="10" t="s">
        <v>209</v>
      </c>
      <c r="J33" s="10" t="s">
        <v>209</v>
      </c>
      <c r="K33" s="10" t="s">
        <v>209</v>
      </c>
      <c r="L33" s="12"/>
    </row>
    <row r="34" spans="1:12" x14ac:dyDescent="0.35">
      <c r="A34" s="4" t="s">
        <v>222</v>
      </c>
      <c r="B34" s="5" t="s">
        <v>225</v>
      </c>
      <c r="C34" s="10" t="s">
        <v>208</v>
      </c>
      <c r="D34" s="10" t="s">
        <v>209</v>
      </c>
      <c r="E34" s="10" t="s">
        <v>209</v>
      </c>
      <c r="F34" s="10" t="s">
        <v>209</v>
      </c>
      <c r="G34" s="10" t="s">
        <v>209</v>
      </c>
      <c r="H34" s="10" t="s">
        <v>209</v>
      </c>
      <c r="I34" s="10" t="s">
        <v>209</v>
      </c>
      <c r="J34" s="10" t="s">
        <v>209</v>
      </c>
      <c r="K34" s="10" t="s">
        <v>209</v>
      </c>
      <c r="L34" s="12"/>
    </row>
    <row r="35" spans="1:12" x14ac:dyDescent="0.35">
      <c r="A35" s="4" t="s">
        <v>226</v>
      </c>
      <c r="B35" s="5" t="s">
        <v>227</v>
      </c>
      <c r="C35" s="10" t="s">
        <v>208</v>
      </c>
      <c r="D35" s="10" t="s">
        <v>208</v>
      </c>
      <c r="E35" s="10" t="s">
        <v>208</v>
      </c>
      <c r="F35" s="10" t="s">
        <v>208</v>
      </c>
      <c r="G35" s="10" t="s">
        <v>209</v>
      </c>
      <c r="H35" s="10" t="s">
        <v>209</v>
      </c>
      <c r="I35" s="10" t="s">
        <v>209</v>
      </c>
      <c r="J35" s="10" t="s">
        <v>209</v>
      </c>
      <c r="K35" s="10" t="s">
        <v>209</v>
      </c>
      <c r="L35" s="12"/>
    </row>
    <row r="36" spans="1:12" ht="25" x14ac:dyDescent="0.35">
      <c r="A36" s="4" t="s">
        <v>226</v>
      </c>
      <c r="B36" s="5" t="s">
        <v>228</v>
      </c>
      <c r="C36" s="10" t="s">
        <v>208</v>
      </c>
      <c r="D36" s="10" t="s">
        <v>208</v>
      </c>
      <c r="E36" s="10" t="s">
        <v>209</v>
      </c>
      <c r="F36" s="10" t="s">
        <v>209</v>
      </c>
      <c r="G36" s="10" t="s">
        <v>209</v>
      </c>
      <c r="H36" s="10" t="s">
        <v>209</v>
      </c>
      <c r="I36" s="10" t="s">
        <v>209</v>
      </c>
      <c r="J36" s="10" t="s">
        <v>209</v>
      </c>
      <c r="K36" s="10" t="s">
        <v>209</v>
      </c>
      <c r="L36" s="12"/>
    </row>
    <row r="37" spans="1:12" ht="25" x14ac:dyDescent="0.35">
      <c r="A37" s="4" t="s">
        <v>229</v>
      </c>
      <c r="B37" s="5" t="s">
        <v>230</v>
      </c>
      <c r="C37" s="10" t="s">
        <v>208</v>
      </c>
      <c r="D37" s="10" t="s">
        <v>209</v>
      </c>
      <c r="E37" s="10" t="s">
        <v>209</v>
      </c>
      <c r="F37" s="10" t="s">
        <v>209</v>
      </c>
      <c r="G37" s="10" t="s">
        <v>209</v>
      </c>
      <c r="H37" s="10" t="s">
        <v>209</v>
      </c>
      <c r="I37" s="10" t="s">
        <v>209</v>
      </c>
      <c r="J37" s="10" t="s">
        <v>208</v>
      </c>
      <c r="K37" s="10" t="s">
        <v>209</v>
      </c>
      <c r="L37" s="12"/>
    </row>
    <row r="38" spans="1:12" x14ac:dyDescent="0.35">
      <c r="A38" s="4" t="s">
        <v>229</v>
      </c>
      <c r="B38" s="5" t="s">
        <v>231</v>
      </c>
      <c r="C38" s="10" t="s">
        <v>208</v>
      </c>
      <c r="D38" s="10" t="s">
        <v>208</v>
      </c>
      <c r="E38" s="10" t="s">
        <v>209</v>
      </c>
      <c r="F38" s="10" t="s">
        <v>209</v>
      </c>
      <c r="G38" s="10" t="s">
        <v>209</v>
      </c>
      <c r="H38" s="10" t="s">
        <v>209</v>
      </c>
      <c r="I38" s="10" t="s">
        <v>209</v>
      </c>
      <c r="J38" s="10" t="s">
        <v>209</v>
      </c>
      <c r="K38" s="10" t="s">
        <v>209</v>
      </c>
      <c r="L38" s="12"/>
    </row>
    <row r="39" spans="1:12" x14ac:dyDescent="0.35">
      <c r="A39" s="4" t="s">
        <v>229</v>
      </c>
      <c r="B39" s="5" t="s">
        <v>232</v>
      </c>
      <c r="C39" s="10" t="s">
        <v>208</v>
      </c>
      <c r="D39" s="10" t="s">
        <v>209</v>
      </c>
      <c r="E39" s="10" t="s">
        <v>209</v>
      </c>
      <c r="F39" s="10" t="s">
        <v>209</v>
      </c>
      <c r="G39" s="10" t="s">
        <v>209</v>
      </c>
      <c r="H39" s="10" t="s">
        <v>209</v>
      </c>
      <c r="I39" s="10" t="s">
        <v>209</v>
      </c>
      <c r="J39" s="10" t="s">
        <v>209</v>
      </c>
      <c r="K39" s="10" t="s">
        <v>209</v>
      </c>
      <c r="L39" s="12"/>
    </row>
    <row r="40" spans="1:12" ht="25" x14ac:dyDescent="0.35">
      <c r="A40" s="4" t="s">
        <v>233</v>
      </c>
      <c r="B40" s="5" t="s">
        <v>234</v>
      </c>
      <c r="C40" s="10" t="s">
        <v>208</v>
      </c>
      <c r="D40" s="10" t="s">
        <v>208</v>
      </c>
      <c r="E40" s="10" t="s">
        <v>208</v>
      </c>
      <c r="F40" s="10" t="s">
        <v>208</v>
      </c>
      <c r="G40" s="10" t="s">
        <v>208</v>
      </c>
      <c r="H40" s="10" t="s">
        <v>208</v>
      </c>
      <c r="I40" s="10" t="s">
        <v>208</v>
      </c>
      <c r="J40" s="10" t="s">
        <v>208</v>
      </c>
      <c r="K40" s="10" t="s">
        <v>208</v>
      </c>
      <c r="L40" s="12"/>
    </row>
    <row r="41" spans="1:12" x14ac:dyDescent="0.35">
      <c r="A41" s="4" t="s">
        <v>235</v>
      </c>
      <c r="B41" s="5" t="s">
        <v>236</v>
      </c>
      <c r="C41" s="10" t="s">
        <v>208</v>
      </c>
      <c r="D41" s="10" t="s">
        <v>209</v>
      </c>
      <c r="E41" s="10" t="s">
        <v>209</v>
      </c>
      <c r="F41" s="10" t="s">
        <v>209</v>
      </c>
      <c r="G41" s="10" t="s">
        <v>209</v>
      </c>
      <c r="H41" s="10" t="s">
        <v>209</v>
      </c>
      <c r="I41" s="10" t="s">
        <v>209</v>
      </c>
      <c r="J41" s="10" t="s">
        <v>209</v>
      </c>
      <c r="K41" s="10" t="s">
        <v>209</v>
      </c>
      <c r="L41" s="12"/>
    </row>
    <row r="42" spans="1:12" x14ac:dyDescent="0.35">
      <c r="A42" s="4" t="s">
        <v>235</v>
      </c>
      <c r="B42" s="5" t="s">
        <v>237</v>
      </c>
      <c r="C42" s="10" t="s">
        <v>208</v>
      </c>
      <c r="D42" s="10" t="s">
        <v>209</v>
      </c>
      <c r="E42" s="10" t="s">
        <v>209</v>
      </c>
      <c r="F42" s="10" t="s">
        <v>209</v>
      </c>
      <c r="G42" s="10" t="s">
        <v>209</v>
      </c>
      <c r="H42" s="10" t="s">
        <v>209</v>
      </c>
      <c r="I42" s="10" t="s">
        <v>209</v>
      </c>
      <c r="J42" s="10" t="s">
        <v>209</v>
      </c>
      <c r="K42" s="10" t="s">
        <v>209</v>
      </c>
      <c r="L42" s="12"/>
    </row>
    <row r="43" spans="1:12" x14ac:dyDescent="0.35">
      <c r="A43" s="4" t="s">
        <v>238</v>
      </c>
      <c r="B43" s="5" t="s">
        <v>239</v>
      </c>
      <c r="C43" s="10" t="s">
        <v>209</v>
      </c>
      <c r="D43" s="10" t="s">
        <v>209</v>
      </c>
      <c r="E43" s="10" t="s">
        <v>209</v>
      </c>
      <c r="F43" s="10" t="s">
        <v>209</v>
      </c>
      <c r="G43" s="10" t="s">
        <v>209</v>
      </c>
      <c r="H43" s="10" t="s">
        <v>209</v>
      </c>
      <c r="I43" s="10" t="s">
        <v>209</v>
      </c>
      <c r="J43" s="10" t="s">
        <v>209</v>
      </c>
      <c r="K43" s="10" t="s">
        <v>208</v>
      </c>
      <c r="L43" s="12"/>
    </row>
    <row r="44" spans="1:12" x14ac:dyDescent="0.35">
      <c r="A44" s="4" t="s">
        <v>240</v>
      </c>
      <c r="B44" s="5" t="s">
        <v>241</v>
      </c>
      <c r="C44" s="10" t="s">
        <v>208</v>
      </c>
      <c r="D44" s="10" t="s">
        <v>209</v>
      </c>
      <c r="E44" s="10" t="s">
        <v>209</v>
      </c>
      <c r="F44" s="10" t="s">
        <v>209</v>
      </c>
      <c r="G44" s="10" t="s">
        <v>209</v>
      </c>
      <c r="H44" s="10" t="s">
        <v>209</v>
      </c>
      <c r="I44" s="10" t="s">
        <v>209</v>
      </c>
      <c r="J44" s="10" t="s">
        <v>209</v>
      </c>
      <c r="K44" s="10" t="s">
        <v>209</v>
      </c>
      <c r="L44" s="12"/>
    </row>
    <row r="45" spans="1:12" x14ac:dyDescent="0.35">
      <c r="A45" s="4" t="s">
        <v>240</v>
      </c>
      <c r="B45" s="5" t="s">
        <v>242</v>
      </c>
      <c r="C45" s="10" t="s">
        <v>208</v>
      </c>
      <c r="D45" s="10" t="s">
        <v>209</v>
      </c>
      <c r="E45" s="10" t="s">
        <v>209</v>
      </c>
      <c r="F45" s="10" t="s">
        <v>209</v>
      </c>
      <c r="G45" s="10" t="s">
        <v>209</v>
      </c>
      <c r="H45" s="10" t="s">
        <v>209</v>
      </c>
      <c r="I45" s="10" t="s">
        <v>209</v>
      </c>
      <c r="J45" s="10" t="s">
        <v>209</v>
      </c>
      <c r="K45" s="10" t="s">
        <v>209</v>
      </c>
      <c r="L45" s="12"/>
    </row>
    <row r="46" spans="1:12" x14ac:dyDescent="0.35">
      <c r="A46" s="4" t="s">
        <v>240</v>
      </c>
      <c r="B46" s="5" t="s">
        <v>243</v>
      </c>
      <c r="C46" s="10" t="s">
        <v>208</v>
      </c>
      <c r="D46" s="10" t="s">
        <v>209</v>
      </c>
      <c r="E46" s="10" t="s">
        <v>209</v>
      </c>
      <c r="F46" s="10" t="s">
        <v>209</v>
      </c>
      <c r="G46" s="10" t="s">
        <v>209</v>
      </c>
      <c r="H46" s="10" t="s">
        <v>209</v>
      </c>
      <c r="I46" s="10" t="s">
        <v>209</v>
      </c>
      <c r="J46" s="10" t="s">
        <v>209</v>
      </c>
      <c r="K46" s="10" t="s">
        <v>208</v>
      </c>
      <c r="L46" s="12"/>
    </row>
    <row r="47" spans="1:12" x14ac:dyDescent="0.35">
      <c r="A47" s="4" t="s">
        <v>240</v>
      </c>
      <c r="B47" s="5" t="s">
        <v>244</v>
      </c>
      <c r="C47" s="10" t="s">
        <v>208</v>
      </c>
      <c r="D47" s="10" t="s">
        <v>209</v>
      </c>
      <c r="E47" s="10" t="s">
        <v>209</v>
      </c>
      <c r="F47" s="10" t="s">
        <v>209</v>
      </c>
      <c r="G47" s="10" t="s">
        <v>209</v>
      </c>
      <c r="H47" s="10" t="s">
        <v>209</v>
      </c>
      <c r="I47" s="10" t="s">
        <v>209</v>
      </c>
      <c r="J47" s="10" t="s">
        <v>209</v>
      </c>
      <c r="K47" s="10" t="s">
        <v>208</v>
      </c>
      <c r="L47" s="12"/>
    </row>
    <row r="48" spans="1:12" x14ac:dyDescent="0.35">
      <c r="A48" s="4" t="s">
        <v>240</v>
      </c>
      <c r="B48" s="5" t="s">
        <v>245</v>
      </c>
      <c r="C48" s="10" t="s">
        <v>209</v>
      </c>
      <c r="D48" s="10" t="s">
        <v>209</v>
      </c>
      <c r="E48" s="10" t="s">
        <v>209</v>
      </c>
      <c r="F48" s="10" t="s">
        <v>209</v>
      </c>
      <c r="G48" s="10" t="s">
        <v>209</v>
      </c>
      <c r="H48" s="10" t="s">
        <v>209</v>
      </c>
      <c r="I48" s="10" t="s">
        <v>209</v>
      </c>
      <c r="J48" s="10" t="s">
        <v>209</v>
      </c>
      <c r="K48" s="10" t="s">
        <v>208</v>
      </c>
      <c r="L48" s="12"/>
    </row>
    <row r="50" spans="1:12" x14ac:dyDescent="0.35">
      <c r="A50" s="20" t="s">
        <v>246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ht="25" x14ac:dyDescent="0.35">
      <c r="A51" s="4" t="s">
        <v>222</v>
      </c>
      <c r="B51" s="5" t="s">
        <v>247</v>
      </c>
      <c r="C51" s="10" t="s">
        <v>248</v>
      </c>
      <c r="D51" s="10" t="s">
        <v>248</v>
      </c>
      <c r="E51" s="10" t="s">
        <v>249</v>
      </c>
      <c r="F51" s="10" t="s">
        <v>249</v>
      </c>
      <c r="G51" s="10" t="s">
        <v>249</v>
      </c>
      <c r="H51" s="10" t="s">
        <v>249</v>
      </c>
      <c r="I51" s="10" t="s">
        <v>249</v>
      </c>
      <c r="J51" s="10" t="s">
        <v>249</v>
      </c>
      <c r="K51" s="10" t="s">
        <v>249</v>
      </c>
      <c r="L51" s="12"/>
    </row>
    <row r="52" spans="1:12" ht="25" x14ac:dyDescent="0.35">
      <c r="A52" s="4" t="s">
        <v>222</v>
      </c>
      <c r="B52" s="5" t="s">
        <v>250</v>
      </c>
      <c r="C52" s="10" t="s">
        <v>248</v>
      </c>
      <c r="D52" s="10" t="s">
        <v>248</v>
      </c>
      <c r="E52" s="10" t="s">
        <v>248</v>
      </c>
      <c r="F52" s="10" t="s">
        <v>248</v>
      </c>
      <c r="G52" s="10" t="s">
        <v>248</v>
      </c>
      <c r="H52" s="10" t="s">
        <v>249</v>
      </c>
      <c r="I52" s="10" t="s">
        <v>249</v>
      </c>
      <c r="J52" s="10" t="s">
        <v>248</v>
      </c>
      <c r="K52" s="10" t="s">
        <v>249</v>
      </c>
      <c r="L52" s="12"/>
    </row>
    <row r="53" spans="1:12" x14ac:dyDescent="0.35">
      <c r="A53" s="4" t="s">
        <v>251</v>
      </c>
      <c r="B53" s="5" t="s">
        <v>252</v>
      </c>
      <c r="C53" s="10" t="s">
        <v>248</v>
      </c>
      <c r="D53" s="10" t="s">
        <v>248</v>
      </c>
      <c r="E53" s="10" t="s">
        <v>248</v>
      </c>
      <c r="F53" s="10" t="s">
        <v>249</v>
      </c>
      <c r="G53" s="10" t="s">
        <v>249</v>
      </c>
      <c r="H53" s="10" t="s">
        <v>248</v>
      </c>
      <c r="I53" s="10" t="s">
        <v>249</v>
      </c>
      <c r="J53" s="10" t="s">
        <v>249</v>
      </c>
      <c r="K53" s="10" t="s">
        <v>249</v>
      </c>
      <c r="L53" s="12"/>
    </row>
    <row r="54" spans="1:12" x14ac:dyDescent="0.35">
      <c r="A54" s="4" t="s">
        <v>253</v>
      </c>
      <c r="B54" s="5" t="s">
        <v>254</v>
      </c>
      <c r="C54" s="10" t="s">
        <v>248</v>
      </c>
      <c r="D54" s="10" t="s">
        <v>248</v>
      </c>
      <c r="E54" s="10" t="s">
        <v>248</v>
      </c>
      <c r="F54" s="10" t="s">
        <v>248</v>
      </c>
      <c r="G54" s="10" t="s">
        <v>248</v>
      </c>
      <c r="H54" s="10" t="s">
        <v>70</v>
      </c>
      <c r="I54" s="10" t="s">
        <v>249</v>
      </c>
      <c r="J54" s="10" t="s">
        <v>249</v>
      </c>
      <c r="K54" s="10" t="s">
        <v>249</v>
      </c>
      <c r="L54" s="12"/>
    </row>
    <row r="55" spans="1:12" ht="25" x14ac:dyDescent="0.35">
      <c r="A55" s="4" t="s">
        <v>255</v>
      </c>
      <c r="B55" s="5" t="s">
        <v>256</v>
      </c>
      <c r="C55" s="10" t="s">
        <v>248</v>
      </c>
      <c r="D55" s="10" t="s">
        <v>248</v>
      </c>
      <c r="E55" s="10" t="s">
        <v>249</v>
      </c>
      <c r="F55" s="10" t="s">
        <v>248</v>
      </c>
      <c r="G55" s="10" t="s">
        <v>248</v>
      </c>
      <c r="H55" s="10" t="s">
        <v>70</v>
      </c>
      <c r="I55" s="10" t="s">
        <v>249</v>
      </c>
      <c r="J55" s="10" t="s">
        <v>248</v>
      </c>
      <c r="K55" s="10" t="s">
        <v>249</v>
      </c>
      <c r="L55" s="12"/>
    </row>
    <row r="56" spans="1:12" x14ac:dyDescent="0.35">
      <c r="A56" s="4" t="s">
        <v>257</v>
      </c>
      <c r="B56" s="5" t="s">
        <v>258</v>
      </c>
      <c r="C56" s="10" t="s">
        <v>248</v>
      </c>
      <c r="D56" s="10" t="s">
        <v>249</v>
      </c>
      <c r="E56" s="10" t="s">
        <v>249</v>
      </c>
      <c r="F56" s="10" t="s">
        <v>249</v>
      </c>
      <c r="G56" s="10" t="s">
        <v>249</v>
      </c>
      <c r="H56" s="10" t="s">
        <v>70</v>
      </c>
      <c r="I56" s="10" t="s">
        <v>248</v>
      </c>
      <c r="J56" s="10" t="s">
        <v>249</v>
      </c>
      <c r="K56" s="10" t="s">
        <v>249</v>
      </c>
      <c r="L56" s="12"/>
    </row>
    <row r="58" spans="1:12" x14ac:dyDescent="0.35">
      <c r="A58" s="20" t="s">
        <v>259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x14ac:dyDescent="0.35">
      <c r="A59" s="4" t="s">
        <v>206</v>
      </c>
      <c r="B59" s="5" t="s">
        <v>260</v>
      </c>
      <c r="C59" s="10" t="s">
        <v>208</v>
      </c>
      <c r="D59" s="10" t="s">
        <v>208</v>
      </c>
      <c r="E59" s="10" t="s">
        <v>208</v>
      </c>
      <c r="F59" s="10" t="s">
        <v>209</v>
      </c>
      <c r="G59" s="10" t="s">
        <v>209</v>
      </c>
      <c r="H59" s="10" t="s">
        <v>209</v>
      </c>
      <c r="I59" s="10" t="s">
        <v>209</v>
      </c>
      <c r="J59" s="10" t="s">
        <v>209</v>
      </c>
      <c r="K59" s="10" t="s">
        <v>209</v>
      </c>
      <c r="L59" s="12"/>
    </row>
    <row r="60" spans="1:12" x14ac:dyDescent="0.35">
      <c r="A60" s="4" t="s">
        <v>206</v>
      </c>
      <c r="B60" s="5" t="s">
        <v>261</v>
      </c>
      <c r="C60" s="10" t="s">
        <v>208</v>
      </c>
      <c r="D60" s="10" t="s">
        <v>208</v>
      </c>
      <c r="E60" s="10" t="s">
        <v>208</v>
      </c>
      <c r="F60" s="10" t="s">
        <v>209</v>
      </c>
      <c r="G60" s="10" t="s">
        <v>209</v>
      </c>
      <c r="H60" s="10" t="s">
        <v>209</v>
      </c>
      <c r="I60" s="10" t="s">
        <v>209</v>
      </c>
      <c r="J60" s="10" t="s">
        <v>209</v>
      </c>
      <c r="K60" s="10" t="s">
        <v>209</v>
      </c>
      <c r="L60" s="12"/>
    </row>
    <row r="61" spans="1:12" x14ac:dyDescent="0.35">
      <c r="A61" s="4" t="s">
        <v>262</v>
      </c>
      <c r="B61" s="5" t="s">
        <v>263</v>
      </c>
      <c r="C61" s="10" t="s">
        <v>208</v>
      </c>
      <c r="D61" s="10" t="s">
        <v>208</v>
      </c>
      <c r="E61" s="10" t="s">
        <v>209</v>
      </c>
      <c r="F61" s="10" t="s">
        <v>208</v>
      </c>
      <c r="G61" s="10" t="s">
        <v>208</v>
      </c>
      <c r="H61" s="10" t="s">
        <v>209</v>
      </c>
      <c r="I61" s="10" t="s">
        <v>209</v>
      </c>
      <c r="J61" s="10" t="s">
        <v>209</v>
      </c>
      <c r="K61" s="10" t="s">
        <v>209</v>
      </c>
      <c r="L61" s="12"/>
    </row>
    <row r="62" spans="1:12" x14ac:dyDescent="0.35">
      <c r="A62" s="4" t="s">
        <v>213</v>
      </c>
      <c r="B62" s="5" t="s">
        <v>264</v>
      </c>
      <c r="C62" s="10" t="s">
        <v>208</v>
      </c>
      <c r="D62" s="10" t="s">
        <v>208</v>
      </c>
      <c r="E62" s="10" t="s">
        <v>209</v>
      </c>
      <c r="F62" s="10" t="s">
        <v>208</v>
      </c>
      <c r="G62" s="10" t="s">
        <v>208</v>
      </c>
      <c r="H62" s="10" t="s">
        <v>209</v>
      </c>
      <c r="I62" s="10" t="s">
        <v>209</v>
      </c>
      <c r="J62" s="10" t="s">
        <v>209</v>
      </c>
      <c r="K62" s="10" t="s">
        <v>209</v>
      </c>
      <c r="L62" s="12"/>
    </row>
    <row r="63" spans="1:12" x14ac:dyDescent="0.35">
      <c r="A63" s="4" t="s">
        <v>265</v>
      </c>
      <c r="B63" s="5" t="s">
        <v>266</v>
      </c>
      <c r="C63" s="10" t="s">
        <v>208</v>
      </c>
      <c r="D63" s="10" t="s">
        <v>208</v>
      </c>
      <c r="E63" s="10" t="s">
        <v>209</v>
      </c>
      <c r="F63" s="10" t="s">
        <v>208</v>
      </c>
      <c r="G63" s="10" t="s">
        <v>208</v>
      </c>
      <c r="H63" s="10" t="s">
        <v>209</v>
      </c>
      <c r="I63" s="10" t="s">
        <v>209</v>
      </c>
      <c r="J63" s="10" t="s">
        <v>209</v>
      </c>
      <c r="K63" s="10" t="s">
        <v>209</v>
      </c>
      <c r="L63" s="12"/>
    </row>
    <row r="64" spans="1:12" x14ac:dyDescent="0.35">
      <c r="A64" s="4" t="s">
        <v>214</v>
      </c>
      <c r="B64" s="5" t="s">
        <v>267</v>
      </c>
      <c r="C64" s="10" t="s">
        <v>208</v>
      </c>
      <c r="D64" s="10" t="s">
        <v>209</v>
      </c>
      <c r="E64" s="10" t="s">
        <v>209</v>
      </c>
      <c r="F64" s="10" t="s">
        <v>209</v>
      </c>
      <c r="G64" s="10" t="s">
        <v>208</v>
      </c>
      <c r="H64" s="10" t="s">
        <v>209</v>
      </c>
      <c r="I64" s="10" t="s">
        <v>208</v>
      </c>
      <c r="J64" s="10" t="s">
        <v>209</v>
      </c>
      <c r="K64" s="10" t="s">
        <v>209</v>
      </c>
      <c r="L64" s="12"/>
    </row>
    <row r="65" spans="1:12" x14ac:dyDescent="0.35">
      <c r="A65" s="4" t="s">
        <v>214</v>
      </c>
      <c r="B65" s="5" t="s">
        <v>268</v>
      </c>
      <c r="C65" s="10" t="s">
        <v>208</v>
      </c>
      <c r="D65" s="10" t="s">
        <v>208</v>
      </c>
      <c r="E65" s="10" t="s">
        <v>208</v>
      </c>
      <c r="F65" s="10" t="s">
        <v>209</v>
      </c>
      <c r="G65" s="10" t="s">
        <v>209</v>
      </c>
      <c r="H65" s="10" t="s">
        <v>209</v>
      </c>
      <c r="I65" s="10" t="s">
        <v>208</v>
      </c>
      <c r="J65" s="10" t="s">
        <v>209</v>
      </c>
      <c r="K65" s="10" t="s">
        <v>209</v>
      </c>
      <c r="L65" s="12"/>
    </row>
    <row r="66" spans="1:12" x14ac:dyDescent="0.35">
      <c r="A66" s="4" t="s">
        <v>269</v>
      </c>
      <c r="B66" s="5" t="s">
        <v>270</v>
      </c>
      <c r="C66" s="10" t="s">
        <v>208</v>
      </c>
      <c r="D66" s="10" t="s">
        <v>208</v>
      </c>
      <c r="E66" s="10" t="s">
        <v>209</v>
      </c>
      <c r="F66" s="10" t="s">
        <v>209</v>
      </c>
      <c r="G66" s="10" t="s">
        <v>209</v>
      </c>
      <c r="H66" s="10" t="s">
        <v>209</v>
      </c>
      <c r="I66" s="10" t="s">
        <v>209</v>
      </c>
      <c r="J66" s="10" t="s">
        <v>209</v>
      </c>
      <c r="K66" s="10" t="s">
        <v>209</v>
      </c>
      <c r="L66" s="12"/>
    </row>
    <row r="68" spans="1:12" ht="28" customHeight="1" x14ac:dyDescent="0.35">
      <c r="A68" s="4" t="s">
        <v>190</v>
      </c>
      <c r="B68" s="18" t="s">
        <v>271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ht="28" customHeight="1" x14ac:dyDescent="0.35">
      <c r="A69" s="4" t="s">
        <v>190</v>
      </c>
      <c r="B69" s="18" t="s">
        <v>272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</row>
  </sheetData>
  <mergeCells count="6">
    <mergeCell ref="A29:L29"/>
    <mergeCell ref="B68:L68"/>
    <mergeCell ref="A5:L5"/>
    <mergeCell ref="B69:L69"/>
    <mergeCell ref="A58:L58"/>
    <mergeCell ref="A50:L50"/>
  </mergeCells>
  <conditionalFormatting sqref="C6:K27">
    <cfRule type="cellIs" dxfId="11" priority="1" operator="equal">
      <formula>"✗"</formula>
    </cfRule>
    <cfRule type="cellIs" dxfId="10" priority="2" operator="equal">
      <formula>"✓"</formula>
    </cfRule>
  </conditionalFormatting>
  <conditionalFormatting sqref="C30:K48">
    <cfRule type="cellIs" dxfId="9" priority="3" operator="equal">
      <formula>"✗"</formula>
    </cfRule>
    <cfRule type="cellIs" dxfId="8" priority="4" operator="equal">
      <formula>"✓"</formula>
    </cfRule>
  </conditionalFormatting>
  <conditionalFormatting sqref="C59:K66">
    <cfRule type="cellIs" dxfId="7" priority="5" operator="equal">
      <formula>"✗"</formula>
    </cfRule>
    <cfRule type="cellIs" dxfId="6" priority="6" operator="equal">
      <formula>"✓"</formula>
    </cfRule>
  </conditionalFormatting>
  <conditionalFormatting sqref="C51:K56">
    <cfRule type="cellIs" dxfId="5" priority="7" operator="equal">
      <formula>"—"</formula>
    </cfRule>
  </conditionalFormatting>
  <dataValidations count="2">
    <dataValidation type="list" allowBlank="1" errorTitle="Not in the list" error="Pick from the list, or leave blank." sqref="C6:K27 C59:K66 C30:K48" xr:uid="{00000000-0002-0000-0300-000000000000}">
      <formula1>"✓,✗"</formula1>
    </dataValidation>
    <dataValidation type="list" allowBlank="1" errorTitle="Not in the list" error="Pick from the list, or leave blank." sqref="C51:K56" xr:uid="{00000000-0002-0000-0300-000003000000}">
      <formula1>"Read/Write,Read-only"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24" customWidth="1"/>
    <col min="3" max="3" width="52" customWidth="1"/>
    <col min="4" max="4" width="44" customWidth="1"/>
    <col min="5" max="5" width="12" customWidth="1"/>
    <col min="6" max="6" width="36" customWidth="1"/>
  </cols>
  <sheetData>
    <row r="1" spans="1:6" ht="19" x14ac:dyDescent="0.4">
      <c r="A1" s="1" t="s">
        <v>273</v>
      </c>
    </row>
    <row r="2" spans="1:6" x14ac:dyDescent="0.35">
      <c r="A2" s="2" t="s">
        <v>274</v>
      </c>
    </row>
    <row r="4" spans="1:6" x14ac:dyDescent="0.35">
      <c r="A4" s="3" t="s">
        <v>62</v>
      </c>
      <c r="B4" s="3" t="s">
        <v>275</v>
      </c>
      <c r="C4" s="3" t="s">
        <v>276</v>
      </c>
      <c r="D4" s="3" t="s">
        <v>277</v>
      </c>
      <c r="E4" s="3" t="s">
        <v>65</v>
      </c>
      <c r="F4" s="3" t="s">
        <v>66</v>
      </c>
    </row>
    <row r="5" spans="1:6" x14ac:dyDescent="0.35">
      <c r="A5" s="4" t="s">
        <v>278</v>
      </c>
      <c r="B5" s="7" t="s">
        <v>279</v>
      </c>
      <c r="C5" s="9" t="s">
        <v>280</v>
      </c>
      <c r="D5" s="9" t="s">
        <v>281</v>
      </c>
      <c r="E5" s="11"/>
      <c r="F5" s="12"/>
    </row>
    <row r="6" spans="1:6" ht="25" x14ac:dyDescent="0.35">
      <c r="A6" s="4" t="s">
        <v>282</v>
      </c>
      <c r="B6" s="7" t="s">
        <v>283</v>
      </c>
      <c r="C6" s="9" t="s">
        <v>284</v>
      </c>
      <c r="D6" s="9" t="s">
        <v>285</v>
      </c>
      <c r="E6" s="11"/>
      <c r="F6" s="12"/>
    </row>
    <row r="7" spans="1:6" x14ac:dyDescent="0.35">
      <c r="A7" s="4" t="s">
        <v>286</v>
      </c>
      <c r="B7" s="7" t="s">
        <v>171</v>
      </c>
      <c r="C7" s="9" t="s">
        <v>287</v>
      </c>
      <c r="D7" s="9" t="s">
        <v>172</v>
      </c>
      <c r="E7" s="11"/>
      <c r="F7" s="12"/>
    </row>
    <row r="8" spans="1:6" x14ac:dyDescent="0.35">
      <c r="A8" s="4" t="s">
        <v>288</v>
      </c>
      <c r="B8" s="7" t="s">
        <v>175</v>
      </c>
      <c r="C8" s="9" t="s">
        <v>289</v>
      </c>
      <c r="D8" s="9" t="s">
        <v>176</v>
      </c>
      <c r="E8" s="11"/>
      <c r="F8" s="12"/>
    </row>
    <row r="9" spans="1:6" x14ac:dyDescent="0.35">
      <c r="A9" s="4" t="s">
        <v>290</v>
      </c>
      <c r="B9" s="7" t="s">
        <v>179</v>
      </c>
      <c r="C9" s="9" t="s">
        <v>291</v>
      </c>
      <c r="D9" s="9" t="s">
        <v>180</v>
      </c>
      <c r="E9" s="11"/>
      <c r="F9" s="12"/>
    </row>
    <row r="10" spans="1:6" x14ac:dyDescent="0.35">
      <c r="A10" s="4" t="s">
        <v>292</v>
      </c>
      <c r="B10" s="7" t="s">
        <v>293</v>
      </c>
      <c r="C10" s="9" t="s">
        <v>294</v>
      </c>
      <c r="D10" s="9" t="s">
        <v>295</v>
      </c>
      <c r="E10" s="11"/>
      <c r="F10" s="12"/>
    </row>
    <row r="11" spans="1:6" x14ac:dyDescent="0.35">
      <c r="A11" s="4" t="s">
        <v>296</v>
      </c>
      <c r="B11" s="7" t="s">
        <v>297</v>
      </c>
      <c r="C11" s="9" t="s">
        <v>298</v>
      </c>
      <c r="D11" s="9" t="s">
        <v>299</v>
      </c>
      <c r="E11" s="11"/>
      <c r="F11" s="12"/>
    </row>
    <row r="12" spans="1:6" x14ac:dyDescent="0.35">
      <c r="A12" s="4" t="s">
        <v>300</v>
      </c>
      <c r="B12" s="6"/>
      <c r="C12" s="12"/>
      <c r="D12" s="12"/>
      <c r="E12" s="11"/>
      <c r="F12" s="12"/>
    </row>
    <row r="13" spans="1:6" x14ac:dyDescent="0.35">
      <c r="A13" s="4" t="s">
        <v>301</v>
      </c>
      <c r="B13" s="6"/>
      <c r="C13" s="12"/>
      <c r="D13" s="12"/>
      <c r="E13" s="11"/>
      <c r="F13" s="12"/>
    </row>
  </sheetData>
  <dataValidations count="1">
    <dataValidation type="list" allowBlank="1" errorTitle="Not in the list" error="Pick from the list, or leave blank." sqref="E5:E13" xr:uid="{00000000-0002-0000-0400-000000000000}">
      <formula1>"Keep,Rename,Remove"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9" sqref="A9"/>
    </sheetView>
  </sheetViews>
  <sheetFormatPr defaultRowHeight="14.5" x14ac:dyDescent="0.35"/>
  <cols>
    <col min="1" max="1" width="22" customWidth="1"/>
    <col min="2" max="2" width="26" customWidth="1"/>
    <col min="3" max="3" width="30" customWidth="1"/>
    <col min="4" max="4" width="26" customWidth="1"/>
    <col min="5" max="11" width="13" customWidth="1"/>
    <col min="12" max="12" width="16" customWidth="1"/>
    <col min="13" max="13" width="28" customWidth="1"/>
    <col min="14" max="14" width="44" customWidth="1"/>
  </cols>
  <sheetData>
    <row r="1" spans="1:14" ht="19" x14ac:dyDescent="0.4">
      <c r="A1" s="1" t="s">
        <v>302</v>
      </c>
    </row>
    <row r="2" spans="1:14" x14ac:dyDescent="0.35">
      <c r="A2" s="2" t="s">
        <v>303</v>
      </c>
    </row>
    <row r="4" spans="1:14" x14ac:dyDescent="0.35">
      <c r="A4" s="4" t="s">
        <v>304</v>
      </c>
      <c r="B4" s="14">
        <f>SUMPRODUCT(--(LEFT(D9:D58,3)="P1 "))</f>
        <v>0</v>
      </c>
      <c r="C4" s="5" t="str">
        <f>IF(B4&gt;=2,"OK","Pick at least 2 Administrators")</f>
        <v>Pick at least 2 Administrators</v>
      </c>
    </row>
    <row r="5" spans="1:14" x14ac:dyDescent="0.35">
      <c r="A5" s="4" t="s">
        <v>305</v>
      </c>
      <c r="B5" s="14">
        <f>COUNTA(A9:A58)</f>
        <v>0</v>
      </c>
    </row>
    <row r="6" spans="1:14" x14ac:dyDescent="0.35">
      <c r="A6" s="4" t="s">
        <v>306</v>
      </c>
      <c r="B6" s="14">
        <f>COUNTIF(N9:N58,"&lt;&gt;OK")-COUNTBLANK(N9:N58)</f>
        <v>0</v>
      </c>
    </row>
    <row r="7" spans="1:14" ht="44" customHeight="1" x14ac:dyDescent="0.35">
      <c r="A7" s="3" t="s">
        <v>307</v>
      </c>
      <c r="B7" s="3" t="s">
        <v>308</v>
      </c>
      <c r="C7" s="3" t="s">
        <v>7</v>
      </c>
      <c r="D7" s="3" t="s">
        <v>11</v>
      </c>
      <c r="E7" s="3" t="s">
        <v>309</v>
      </c>
      <c r="F7" s="3" t="s">
        <v>310</v>
      </c>
      <c r="G7" s="3" t="s">
        <v>311</v>
      </c>
      <c r="H7" s="3" t="s">
        <v>312</v>
      </c>
      <c r="I7" s="3" t="s">
        <v>313</v>
      </c>
      <c r="J7" s="3" t="s">
        <v>314</v>
      </c>
      <c r="K7" s="3" t="s">
        <v>315</v>
      </c>
      <c r="L7" s="3" t="s">
        <v>316</v>
      </c>
      <c r="M7" s="3" t="s">
        <v>317</v>
      </c>
      <c r="N7" s="3" t="s">
        <v>318</v>
      </c>
    </row>
    <row r="8" spans="1:14" x14ac:dyDescent="0.35">
      <c r="A8" s="15" t="s">
        <v>319</v>
      </c>
      <c r="B8" s="15"/>
      <c r="C8" s="15" t="s">
        <v>320</v>
      </c>
      <c r="D8" s="15" t="s">
        <v>198</v>
      </c>
      <c r="E8" s="16" t="s">
        <v>91</v>
      </c>
      <c r="F8" s="16" t="s">
        <v>77</v>
      </c>
      <c r="G8" s="16" t="s">
        <v>77</v>
      </c>
      <c r="H8" s="16" t="s">
        <v>77</v>
      </c>
      <c r="I8" s="16" t="s">
        <v>77</v>
      </c>
      <c r="J8" s="16" t="s">
        <v>77</v>
      </c>
      <c r="K8" s="16" t="s">
        <v>77</v>
      </c>
      <c r="L8" s="15"/>
      <c r="M8" s="15" t="s">
        <v>321</v>
      </c>
      <c r="N8" s="15" t="str">
        <f>IF(A8="","",IF(OR(C8="",D8=""),"Pick a role and a profile",IF(AND(E8="Yes",ISNA(MATCH(IFERROR(LEFT(D8,FIND(" ",D8&amp;" ")-1),""),{"P1","P2","P3","P4"},0))),"BD Owners need a profile that creates Leads (P1 to P4)",IF(AND(F8="Yes",ISNA(MATCH(IFERROR(LEFT(D8,FIND(" ",D8&amp;" ")-1),""),{"P1","P2","P4","P5"},0))),"Sales Owners need a profile that moves Stages 3 to 7 (P1, P2, P4, P5)",IF(AND(I8="Yes",ISNA(MATCH(IFERROR(LEFT(D8,FIND(" ",D8&amp;" ")-1),""),{"P1","P7"},0))),"Delivery people need the Delivery profile (P7)","OK")))))</f>
        <v>OK</v>
      </c>
    </row>
    <row r="9" spans="1:14" x14ac:dyDescent="0.35">
      <c r="A9" s="12"/>
      <c r="B9" s="12"/>
      <c r="C9" s="12"/>
      <c r="D9" s="12"/>
      <c r="E9" s="11"/>
      <c r="F9" s="11"/>
      <c r="G9" s="11"/>
      <c r="H9" s="11"/>
      <c r="I9" s="11"/>
      <c r="J9" s="11"/>
      <c r="K9" s="11"/>
      <c r="L9" s="12"/>
      <c r="M9" s="12"/>
      <c r="N9" s="5" t="str">
        <f>IF(A9="","",IF(OR(C9="",D9=""),"Pick a role and a profile",IF(AND(E9="Yes",ISNA(MATCH(IFERROR(LEFT(D9,FIND(" ",D9&amp;" ")-1),""),{"P1","P2","P3","P4"},0))),"BD Owners need a profile that creates Leads (P1 to P4)",IF(AND(F9="Yes",ISNA(MATCH(IFERROR(LEFT(D9,FIND(" ",D9&amp;" ")-1),""),{"P1","P2","P4","P5"},0))),"Sales Owners need a profile that moves Stages 3 to 7 (P1, P2, P4, P5)",IF(AND(I9="Yes",ISNA(MATCH(IFERROR(LEFT(D9,FIND(" ",D9&amp;" ")-1),""),{"P1","P7"},0))),"Delivery people need the Delivery profile (P7)","OK")))))</f>
        <v/>
      </c>
    </row>
    <row r="10" spans="1:14" x14ac:dyDescent="0.35">
      <c r="A10" s="12"/>
      <c r="B10" s="12"/>
      <c r="C10" s="12"/>
      <c r="D10" s="12"/>
      <c r="E10" s="11"/>
      <c r="F10" s="11"/>
      <c r="G10" s="11"/>
      <c r="H10" s="11"/>
      <c r="I10" s="11"/>
      <c r="J10" s="11"/>
      <c r="K10" s="11"/>
      <c r="L10" s="12"/>
      <c r="M10" s="12"/>
      <c r="N10" s="5" t="str">
        <f>IF(A10="","",IF(OR(C10="",D10=""),"Pick a role and a profile",IF(AND(E10="Yes",ISNA(MATCH(IFERROR(LEFT(D10,FIND(" ",D10&amp;" ")-1),""),{"P1","P2","P3","P4"},0))),"BD Owners need a profile that creates Leads (P1 to P4)",IF(AND(F10="Yes",ISNA(MATCH(IFERROR(LEFT(D10,FIND(" ",D10&amp;" ")-1),""),{"P1","P2","P4","P5"},0))),"Sales Owners need a profile that moves Stages 3 to 7 (P1, P2, P4, P5)",IF(AND(I10="Yes",ISNA(MATCH(IFERROR(LEFT(D10,FIND(" ",D10&amp;" ")-1),""),{"P1","P7"},0))),"Delivery people need the Delivery profile (P7)","OK")))))</f>
        <v/>
      </c>
    </row>
    <row r="11" spans="1:14" x14ac:dyDescent="0.35">
      <c r="A11" s="12"/>
      <c r="B11" s="12"/>
      <c r="C11" s="12"/>
      <c r="D11" s="12"/>
      <c r="E11" s="11"/>
      <c r="F11" s="11"/>
      <c r="G11" s="11"/>
      <c r="H11" s="11"/>
      <c r="I11" s="11"/>
      <c r="J11" s="11"/>
      <c r="K11" s="11"/>
      <c r="L11" s="12"/>
      <c r="M11" s="12"/>
      <c r="N11" s="5" t="str">
        <f>IF(A11="","",IF(OR(C11="",D11=""),"Pick a role and a profile",IF(AND(E11="Yes",ISNA(MATCH(IFERROR(LEFT(D11,FIND(" ",D11&amp;" ")-1),""),{"P1","P2","P3","P4"},0))),"BD Owners need a profile that creates Leads (P1 to P4)",IF(AND(F11="Yes",ISNA(MATCH(IFERROR(LEFT(D11,FIND(" ",D11&amp;" ")-1),""),{"P1","P2","P4","P5"},0))),"Sales Owners need a profile that moves Stages 3 to 7 (P1, P2, P4, P5)",IF(AND(I11="Yes",ISNA(MATCH(IFERROR(LEFT(D11,FIND(" ",D11&amp;" ")-1),""),{"P1","P7"},0))),"Delivery people need the Delivery profile (P7)","OK")))))</f>
        <v/>
      </c>
    </row>
    <row r="12" spans="1:14" x14ac:dyDescent="0.35">
      <c r="A12" s="12"/>
      <c r="B12" s="12"/>
      <c r="C12" s="12"/>
      <c r="D12" s="12"/>
      <c r="E12" s="11"/>
      <c r="F12" s="11"/>
      <c r="G12" s="11"/>
      <c r="H12" s="11"/>
      <c r="I12" s="11"/>
      <c r="J12" s="11"/>
      <c r="K12" s="11"/>
      <c r="L12" s="12"/>
      <c r="M12" s="12"/>
      <c r="N12" s="5" t="str">
        <f>IF(A12="","",IF(OR(C12="",D12=""),"Pick a role and a profile",IF(AND(E12="Yes",ISNA(MATCH(IFERROR(LEFT(D12,FIND(" ",D12&amp;" ")-1),""),{"P1","P2","P3","P4"},0))),"BD Owners need a profile that creates Leads (P1 to P4)",IF(AND(F12="Yes",ISNA(MATCH(IFERROR(LEFT(D12,FIND(" ",D12&amp;" ")-1),""),{"P1","P2","P4","P5"},0))),"Sales Owners need a profile that moves Stages 3 to 7 (P1, P2, P4, P5)",IF(AND(I12="Yes",ISNA(MATCH(IFERROR(LEFT(D12,FIND(" ",D12&amp;" ")-1),""),{"P1","P7"},0))),"Delivery people need the Delivery profile (P7)","OK")))))</f>
        <v/>
      </c>
    </row>
    <row r="13" spans="1:14" x14ac:dyDescent="0.35">
      <c r="A13" s="12"/>
      <c r="B13" s="12"/>
      <c r="C13" s="12"/>
      <c r="D13" s="12"/>
      <c r="E13" s="11"/>
      <c r="F13" s="11"/>
      <c r="G13" s="11"/>
      <c r="H13" s="11"/>
      <c r="I13" s="11"/>
      <c r="J13" s="11"/>
      <c r="K13" s="11"/>
      <c r="L13" s="12"/>
      <c r="M13" s="12"/>
      <c r="N13" s="5" t="str">
        <f>IF(A13="","",IF(OR(C13="",D13=""),"Pick a role and a profile",IF(AND(E13="Yes",ISNA(MATCH(IFERROR(LEFT(D13,FIND(" ",D13&amp;" ")-1),""),{"P1","P2","P3","P4"},0))),"BD Owners need a profile that creates Leads (P1 to P4)",IF(AND(F13="Yes",ISNA(MATCH(IFERROR(LEFT(D13,FIND(" ",D13&amp;" ")-1),""),{"P1","P2","P4","P5"},0))),"Sales Owners need a profile that moves Stages 3 to 7 (P1, P2, P4, P5)",IF(AND(I13="Yes",ISNA(MATCH(IFERROR(LEFT(D13,FIND(" ",D13&amp;" ")-1),""),{"P1","P7"},0))),"Delivery people need the Delivery profile (P7)","OK")))))</f>
        <v/>
      </c>
    </row>
    <row r="14" spans="1:14" x14ac:dyDescent="0.35">
      <c r="A14" s="12"/>
      <c r="B14" s="12"/>
      <c r="C14" s="12"/>
      <c r="D14" s="12"/>
      <c r="E14" s="11"/>
      <c r="F14" s="11"/>
      <c r="G14" s="11"/>
      <c r="H14" s="11"/>
      <c r="I14" s="11"/>
      <c r="J14" s="11"/>
      <c r="K14" s="11"/>
      <c r="L14" s="12"/>
      <c r="M14" s="12"/>
      <c r="N14" s="5" t="str">
        <f>IF(A14="","",IF(OR(C14="",D14=""),"Pick a role and a profile",IF(AND(E14="Yes",ISNA(MATCH(IFERROR(LEFT(D14,FIND(" ",D14&amp;" ")-1),""),{"P1","P2","P3","P4"},0))),"BD Owners need a profile that creates Leads (P1 to P4)",IF(AND(F14="Yes",ISNA(MATCH(IFERROR(LEFT(D14,FIND(" ",D14&amp;" ")-1),""),{"P1","P2","P4","P5"},0))),"Sales Owners need a profile that moves Stages 3 to 7 (P1, P2, P4, P5)",IF(AND(I14="Yes",ISNA(MATCH(IFERROR(LEFT(D14,FIND(" ",D14&amp;" ")-1),""),{"P1","P7"},0))),"Delivery people need the Delivery profile (P7)","OK")))))</f>
        <v/>
      </c>
    </row>
    <row r="15" spans="1:14" x14ac:dyDescent="0.35">
      <c r="A15" s="12"/>
      <c r="B15" s="12"/>
      <c r="C15" s="12"/>
      <c r="D15" s="12"/>
      <c r="E15" s="11"/>
      <c r="F15" s="11"/>
      <c r="G15" s="11"/>
      <c r="H15" s="11"/>
      <c r="I15" s="11"/>
      <c r="J15" s="11"/>
      <c r="K15" s="11"/>
      <c r="L15" s="12"/>
      <c r="M15" s="12"/>
      <c r="N15" s="5" t="str">
        <f>IF(A15="","",IF(OR(C15="",D15=""),"Pick a role and a profile",IF(AND(E15="Yes",ISNA(MATCH(IFERROR(LEFT(D15,FIND(" ",D15&amp;" ")-1),""),{"P1","P2","P3","P4"},0))),"BD Owners need a profile that creates Leads (P1 to P4)",IF(AND(F15="Yes",ISNA(MATCH(IFERROR(LEFT(D15,FIND(" ",D15&amp;" ")-1),""),{"P1","P2","P4","P5"},0))),"Sales Owners need a profile that moves Stages 3 to 7 (P1, P2, P4, P5)",IF(AND(I15="Yes",ISNA(MATCH(IFERROR(LEFT(D15,FIND(" ",D15&amp;" ")-1),""),{"P1","P7"},0))),"Delivery people need the Delivery profile (P7)","OK")))))</f>
        <v/>
      </c>
    </row>
    <row r="16" spans="1:14" x14ac:dyDescent="0.35">
      <c r="A16" s="12"/>
      <c r="B16" s="12"/>
      <c r="C16" s="12"/>
      <c r="D16" s="12"/>
      <c r="E16" s="11"/>
      <c r="F16" s="11"/>
      <c r="G16" s="11"/>
      <c r="H16" s="11"/>
      <c r="I16" s="11"/>
      <c r="J16" s="11"/>
      <c r="K16" s="11"/>
      <c r="L16" s="12"/>
      <c r="M16" s="12"/>
      <c r="N16" s="5" t="str">
        <f>IF(A16="","",IF(OR(C16="",D16=""),"Pick a role and a profile",IF(AND(E16="Yes",ISNA(MATCH(IFERROR(LEFT(D16,FIND(" ",D16&amp;" ")-1),""),{"P1","P2","P3","P4"},0))),"BD Owners need a profile that creates Leads (P1 to P4)",IF(AND(F16="Yes",ISNA(MATCH(IFERROR(LEFT(D16,FIND(" ",D16&amp;" ")-1),""),{"P1","P2","P4","P5"},0))),"Sales Owners need a profile that moves Stages 3 to 7 (P1, P2, P4, P5)",IF(AND(I16="Yes",ISNA(MATCH(IFERROR(LEFT(D16,FIND(" ",D16&amp;" ")-1),""),{"P1","P7"},0))),"Delivery people need the Delivery profile (P7)","OK")))))</f>
        <v/>
      </c>
    </row>
    <row r="17" spans="1:14" x14ac:dyDescent="0.35">
      <c r="A17" s="12"/>
      <c r="B17" s="12"/>
      <c r="C17" s="12"/>
      <c r="D17" s="12"/>
      <c r="E17" s="11"/>
      <c r="F17" s="11"/>
      <c r="G17" s="11"/>
      <c r="H17" s="11"/>
      <c r="I17" s="11"/>
      <c r="J17" s="11"/>
      <c r="K17" s="11"/>
      <c r="L17" s="12"/>
      <c r="M17" s="12"/>
      <c r="N17" s="5" t="str">
        <f>IF(A17="","",IF(OR(C17="",D17=""),"Pick a role and a profile",IF(AND(E17="Yes",ISNA(MATCH(IFERROR(LEFT(D17,FIND(" ",D17&amp;" ")-1),""),{"P1","P2","P3","P4"},0))),"BD Owners need a profile that creates Leads (P1 to P4)",IF(AND(F17="Yes",ISNA(MATCH(IFERROR(LEFT(D17,FIND(" ",D17&amp;" ")-1),""),{"P1","P2","P4","P5"},0))),"Sales Owners need a profile that moves Stages 3 to 7 (P1, P2, P4, P5)",IF(AND(I17="Yes",ISNA(MATCH(IFERROR(LEFT(D17,FIND(" ",D17&amp;" ")-1),""),{"P1","P7"},0))),"Delivery people need the Delivery profile (P7)","OK")))))</f>
        <v/>
      </c>
    </row>
    <row r="18" spans="1:14" x14ac:dyDescent="0.35">
      <c r="A18" s="12"/>
      <c r="B18" s="12"/>
      <c r="C18" s="12"/>
      <c r="D18" s="12"/>
      <c r="E18" s="11"/>
      <c r="F18" s="11"/>
      <c r="G18" s="11"/>
      <c r="H18" s="11"/>
      <c r="I18" s="11"/>
      <c r="J18" s="11"/>
      <c r="K18" s="11"/>
      <c r="L18" s="12"/>
      <c r="M18" s="12"/>
      <c r="N18" s="5" t="str">
        <f>IF(A18="","",IF(OR(C18="",D18=""),"Pick a role and a profile",IF(AND(E18="Yes",ISNA(MATCH(IFERROR(LEFT(D18,FIND(" ",D18&amp;" ")-1),""),{"P1","P2","P3","P4"},0))),"BD Owners need a profile that creates Leads (P1 to P4)",IF(AND(F18="Yes",ISNA(MATCH(IFERROR(LEFT(D18,FIND(" ",D18&amp;" ")-1),""),{"P1","P2","P4","P5"},0))),"Sales Owners need a profile that moves Stages 3 to 7 (P1, P2, P4, P5)",IF(AND(I18="Yes",ISNA(MATCH(IFERROR(LEFT(D18,FIND(" ",D18&amp;" ")-1),""),{"P1","P7"},0))),"Delivery people need the Delivery profile (P7)","OK")))))</f>
        <v/>
      </c>
    </row>
    <row r="19" spans="1:14" x14ac:dyDescent="0.35">
      <c r="A19" s="12"/>
      <c r="B19" s="12"/>
      <c r="C19" s="12"/>
      <c r="D19" s="12"/>
      <c r="E19" s="11"/>
      <c r="F19" s="11"/>
      <c r="G19" s="11"/>
      <c r="H19" s="11"/>
      <c r="I19" s="11"/>
      <c r="J19" s="11"/>
      <c r="K19" s="11"/>
      <c r="L19" s="12"/>
      <c r="M19" s="12"/>
      <c r="N19" s="5" t="str">
        <f>IF(A19="","",IF(OR(C19="",D19=""),"Pick a role and a profile",IF(AND(E19="Yes",ISNA(MATCH(IFERROR(LEFT(D19,FIND(" ",D19&amp;" ")-1),""),{"P1","P2","P3","P4"},0))),"BD Owners need a profile that creates Leads (P1 to P4)",IF(AND(F19="Yes",ISNA(MATCH(IFERROR(LEFT(D19,FIND(" ",D19&amp;" ")-1),""),{"P1","P2","P4","P5"},0))),"Sales Owners need a profile that moves Stages 3 to 7 (P1, P2, P4, P5)",IF(AND(I19="Yes",ISNA(MATCH(IFERROR(LEFT(D19,FIND(" ",D19&amp;" ")-1),""),{"P1","P7"},0))),"Delivery people need the Delivery profile (P7)","OK")))))</f>
        <v/>
      </c>
    </row>
    <row r="20" spans="1:14" x14ac:dyDescent="0.35">
      <c r="A20" s="12"/>
      <c r="B20" s="12"/>
      <c r="C20" s="12"/>
      <c r="D20" s="12"/>
      <c r="E20" s="11"/>
      <c r="F20" s="11"/>
      <c r="G20" s="11"/>
      <c r="H20" s="11"/>
      <c r="I20" s="11"/>
      <c r="J20" s="11"/>
      <c r="K20" s="11"/>
      <c r="L20" s="12"/>
      <c r="M20" s="12"/>
      <c r="N20" s="5" t="str">
        <f>IF(A20="","",IF(OR(C20="",D20=""),"Pick a role and a profile",IF(AND(E20="Yes",ISNA(MATCH(IFERROR(LEFT(D20,FIND(" ",D20&amp;" ")-1),""),{"P1","P2","P3","P4"},0))),"BD Owners need a profile that creates Leads (P1 to P4)",IF(AND(F20="Yes",ISNA(MATCH(IFERROR(LEFT(D20,FIND(" ",D20&amp;" ")-1),""),{"P1","P2","P4","P5"},0))),"Sales Owners need a profile that moves Stages 3 to 7 (P1, P2, P4, P5)",IF(AND(I20="Yes",ISNA(MATCH(IFERROR(LEFT(D20,FIND(" ",D20&amp;" ")-1),""),{"P1","P7"},0))),"Delivery people need the Delivery profile (P7)","OK")))))</f>
        <v/>
      </c>
    </row>
    <row r="21" spans="1:14" x14ac:dyDescent="0.35">
      <c r="A21" s="12"/>
      <c r="B21" s="12"/>
      <c r="C21" s="12"/>
      <c r="D21" s="12"/>
      <c r="E21" s="11"/>
      <c r="F21" s="11"/>
      <c r="G21" s="11"/>
      <c r="H21" s="11"/>
      <c r="I21" s="11"/>
      <c r="J21" s="11"/>
      <c r="K21" s="11"/>
      <c r="L21" s="12"/>
      <c r="M21" s="12"/>
      <c r="N21" s="5" t="str">
        <f>IF(A21="","",IF(OR(C21="",D21=""),"Pick a role and a profile",IF(AND(E21="Yes",ISNA(MATCH(IFERROR(LEFT(D21,FIND(" ",D21&amp;" ")-1),""),{"P1","P2","P3","P4"},0))),"BD Owners need a profile that creates Leads (P1 to P4)",IF(AND(F21="Yes",ISNA(MATCH(IFERROR(LEFT(D21,FIND(" ",D21&amp;" ")-1),""),{"P1","P2","P4","P5"},0))),"Sales Owners need a profile that moves Stages 3 to 7 (P1, P2, P4, P5)",IF(AND(I21="Yes",ISNA(MATCH(IFERROR(LEFT(D21,FIND(" ",D21&amp;" ")-1),""),{"P1","P7"},0))),"Delivery people need the Delivery profile (P7)","OK")))))</f>
        <v/>
      </c>
    </row>
    <row r="22" spans="1:14" x14ac:dyDescent="0.35">
      <c r="A22" s="12"/>
      <c r="B22" s="12"/>
      <c r="C22" s="12"/>
      <c r="D22" s="12"/>
      <c r="E22" s="11"/>
      <c r="F22" s="11"/>
      <c r="G22" s="11"/>
      <c r="H22" s="11"/>
      <c r="I22" s="11"/>
      <c r="J22" s="11"/>
      <c r="K22" s="11"/>
      <c r="L22" s="12"/>
      <c r="M22" s="12"/>
      <c r="N22" s="5" t="str">
        <f>IF(A22="","",IF(OR(C22="",D22=""),"Pick a role and a profile",IF(AND(E22="Yes",ISNA(MATCH(IFERROR(LEFT(D22,FIND(" ",D22&amp;" ")-1),""),{"P1","P2","P3","P4"},0))),"BD Owners need a profile that creates Leads (P1 to P4)",IF(AND(F22="Yes",ISNA(MATCH(IFERROR(LEFT(D22,FIND(" ",D22&amp;" ")-1),""),{"P1","P2","P4","P5"},0))),"Sales Owners need a profile that moves Stages 3 to 7 (P1, P2, P4, P5)",IF(AND(I22="Yes",ISNA(MATCH(IFERROR(LEFT(D22,FIND(" ",D22&amp;" ")-1),""),{"P1","P7"},0))),"Delivery people need the Delivery profile (P7)","OK")))))</f>
        <v/>
      </c>
    </row>
    <row r="23" spans="1:14" x14ac:dyDescent="0.35">
      <c r="A23" s="12"/>
      <c r="B23" s="12"/>
      <c r="C23" s="12"/>
      <c r="D23" s="12"/>
      <c r="E23" s="11"/>
      <c r="F23" s="11"/>
      <c r="G23" s="11"/>
      <c r="H23" s="11"/>
      <c r="I23" s="11"/>
      <c r="J23" s="11"/>
      <c r="K23" s="11"/>
      <c r="L23" s="12"/>
      <c r="M23" s="12"/>
      <c r="N23" s="5" t="str">
        <f>IF(A23="","",IF(OR(C23="",D23=""),"Pick a role and a profile",IF(AND(E23="Yes",ISNA(MATCH(IFERROR(LEFT(D23,FIND(" ",D23&amp;" ")-1),""),{"P1","P2","P3","P4"},0))),"BD Owners need a profile that creates Leads (P1 to P4)",IF(AND(F23="Yes",ISNA(MATCH(IFERROR(LEFT(D23,FIND(" ",D23&amp;" ")-1),""),{"P1","P2","P4","P5"},0))),"Sales Owners need a profile that moves Stages 3 to 7 (P1, P2, P4, P5)",IF(AND(I23="Yes",ISNA(MATCH(IFERROR(LEFT(D23,FIND(" ",D23&amp;" ")-1),""),{"P1","P7"},0))),"Delivery people need the Delivery profile (P7)","OK")))))</f>
        <v/>
      </c>
    </row>
    <row r="24" spans="1:14" x14ac:dyDescent="0.35">
      <c r="A24" s="12"/>
      <c r="B24" s="12"/>
      <c r="C24" s="12"/>
      <c r="D24" s="12"/>
      <c r="E24" s="11"/>
      <c r="F24" s="11"/>
      <c r="G24" s="11"/>
      <c r="H24" s="11"/>
      <c r="I24" s="11"/>
      <c r="J24" s="11"/>
      <c r="K24" s="11"/>
      <c r="L24" s="12"/>
      <c r="M24" s="12"/>
      <c r="N24" s="5" t="str">
        <f>IF(A24="","",IF(OR(C24="",D24=""),"Pick a role and a profile",IF(AND(E24="Yes",ISNA(MATCH(IFERROR(LEFT(D24,FIND(" ",D24&amp;" ")-1),""),{"P1","P2","P3","P4"},0))),"BD Owners need a profile that creates Leads (P1 to P4)",IF(AND(F24="Yes",ISNA(MATCH(IFERROR(LEFT(D24,FIND(" ",D24&amp;" ")-1),""),{"P1","P2","P4","P5"},0))),"Sales Owners need a profile that moves Stages 3 to 7 (P1, P2, P4, P5)",IF(AND(I24="Yes",ISNA(MATCH(IFERROR(LEFT(D24,FIND(" ",D24&amp;" ")-1),""),{"P1","P7"},0))),"Delivery people need the Delivery profile (P7)","OK")))))</f>
        <v/>
      </c>
    </row>
    <row r="25" spans="1:14" x14ac:dyDescent="0.35">
      <c r="A25" s="12"/>
      <c r="B25" s="12"/>
      <c r="C25" s="12"/>
      <c r="D25" s="12"/>
      <c r="E25" s="11"/>
      <c r="F25" s="11"/>
      <c r="G25" s="11"/>
      <c r="H25" s="11"/>
      <c r="I25" s="11"/>
      <c r="J25" s="11"/>
      <c r="K25" s="11"/>
      <c r="L25" s="12"/>
      <c r="M25" s="12"/>
      <c r="N25" s="5" t="str">
        <f>IF(A25="","",IF(OR(C25="",D25=""),"Pick a role and a profile",IF(AND(E25="Yes",ISNA(MATCH(IFERROR(LEFT(D25,FIND(" ",D25&amp;" ")-1),""),{"P1","P2","P3","P4"},0))),"BD Owners need a profile that creates Leads (P1 to P4)",IF(AND(F25="Yes",ISNA(MATCH(IFERROR(LEFT(D25,FIND(" ",D25&amp;" ")-1),""),{"P1","P2","P4","P5"},0))),"Sales Owners need a profile that moves Stages 3 to 7 (P1, P2, P4, P5)",IF(AND(I25="Yes",ISNA(MATCH(IFERROR(LEFT(D25,FIND(" ",D25&amp;" ")-1),""),{"P1","P7"},0))),"Delivery people need the Delivery profile (P7)","OK")))))</f>
        <v/>
      </c>
    </row>
    <row r="26" spans="1:14" x14ac:dyDescent="0.35">
      <c r="A26" s="12"/>
      <c r="B26" s="12"/>
      <c r="C26" s="12"/>
      <c r="D26" s="12"/>
      <c r="E26" s="11"/>
      <c r="F26" s="11"/>
      <c r="G26" s="11"/>
      <c r="H26" s="11"/>
      <c r="I26" s="11"/>
      <c r="J26" s="11"/>
      <c r="K26" s="11"/>
      <c r="L26" s="12"/>
      <c r="M26" s="12"/>
      <c r="N26" s="5" t="str">
        <f>IF(A26="","",IF(OR(C26="",D26=""),"Pick a role and a profile",IF(AND(E26="Yes",ISNA(MATCH(IFERROR(LEFT(D26,FIND(" ",D26&amp;" ")-1),""),{"P1","P2","P3","P4"},0))),"BD Owners need a profile that creates Leads (P1 to P4)",IF(AND(F26="Yes",ISNA(MATCH(IFERROR(LEFT(D26,FIND(" ",D26&amp;" ")-1),""),{"P1","P2","P4","P5"},0))),"Sales Owners need a profile that moves Stages 3 to 7 (P1, P2, P4, P5)",IF(AND(I26="Yes",ISNA(MATCH(IFERROR(LEFT(D26,FIND(" ",D26&amp;" ")-1),""),{"P1","P7"},0))),"Delivery people need the Delivery profile (P7)","OK")))))</f>
        <v/>
      </c>
    </row>
    <row r="27" spans="1:14" x14ac:dyDescent="0.35">
      <c r="A27" s="12"/>
      <c r="B27" s="12"/>
      <c r="C27" s="12"/>
      <c r="D27" s="12"/>
      <c r="E27" s="11"/>
      <c r="F27" s="11"/>
      <c r="G27" s="11"/>
      <c r="H27" s="11"/>
      <c r="I27" s="11"/>
      <c r="J27" s="11"/>
      <c r="K27" s="11"/>
      <c r="L27" s="12"/>
      <c r="M27" s="12"/>
      <c r="N27" s="5" t="str">
        <f>IF(A27="","",IF(OR(C27="",D27=""),"Pick a role and a profile",IF(AND(E27="Yes",ISNA(MATCH(IFERROR(LEFT(D27,FIND(" ",D27&amp;" ")-1),""),{"P1","P2","P3","P4"},0))),"BD Owners need a profile that creates Leads (P1 to P4)",IF(AND(F27="Yes",ISNA(MATCH(IFERROR(LEFT(D27,FIND(" ",D27&amp;" ")-1),""),{"P1","P2","P4","P5"},0))),"Sales Owners need a profile that moves Stages 3 to 7 (P1, P2, P4, P5)",IF(AND(I27="Yes",ISNA(MATCH(IFERROR(LEFT(D27,FIND(" ",D27&amp;" ")-1),""),{"P1","P7"},0))),"Delivery people need the Delivery profile (P7)","OK")))))</f>
        <v/>
      </c>
    </row>
    <row r="28" spans="1:14" x14ac:dyDescent="0.35">
      <c r="A28" s="12"/>
      <c r="B28" s="12"/>
      <c r="C28" s="12"/>
      <c r="D28" s="12"/>
      <c r="E28" s="11"/>
      <c r="F28" s="11"/>
      <c r="G28" s="11"/>
      <c r="H28" s="11"/>
      <c r="I28" s="11"/>
      <c r="J28" s="11"/>
      <c r="K28" s="11"/>
      <c r="L28" s="12"/>
      <c r="M28" s="12"/>
      <c r="N28" s="5" t="str">
        <f>IF(A28="","",IF(OR(C28="",D28=""),"Pick a role and a profile",IF(AND(E28="Yes",ISNA(MATCH(IFERROR(LEFT(D28,FIND(" ",D28&amp;" ")-1),""),{"P1","P2","P3","P4"},0))),"BD Owners need a profile that creates Leads (P1 to P4)",IF(AND(F28="Yes",ISNA(MATCH(IFERROR(LEFT(D28,FIND(" ",D28&amp;" ")-1),""),{"P1","P2","P4","P5"},0))),"Sales Owners need a profile that moves Stages 3 to 7 (P1, P2, P4, P5)",IF(AND(I28="Yes",ISNA(MATCH(IFERROR(LEFT(D28,FIND(" ",D28&amp;" ")-1),""),{"P1","P7"},0))),"Delivery people need the Delivery profile (P7)","OK")))))</f>
        <v/>
      </c>
    </row>
    <row r="29" spans="1:14" x14ac:dyDescent="0.35">
      <c r="A29" s="12"/>
      <c r="B29" s="12"/>
      <c r="C29" s="12"/>
      <c r="D29" s="12"/>
      <c r="E29" s="11"/>
      <c r="F29" s="11"/>
      <c r="G29" s="11"/>
      <c r="H29" s="11"/>
      <c r="I29" s="11"/>
      <c r="J29" s="11"/>
      <c r="K29" s="11"/>
      <c r="L29" s="12"/>
      <c r="M29" s="12"/>
      <c r="N29" s="5" t="str">
        <f>IF(A29="","",IF(OR(C29="",D29=""),"Pick a role and a profile",IF(AND(E29="Yes",ISNA(MATCH(IFERROR(LEFT(D29,FIND(" ",D29&amp;" ")-1),""),{"P1","P2","P3","P4"},0))),"BD Owners need a profile that creates Leads (P1 to P4)",IF(AND(F29="Yes",ISNA(MATCH(IFERROR(LEFT(D29,FIND(" ",D29&amp;" ")-1),""),{"P1","P2","P4","P5"},0))),"Sales Owners need a profile that moves Stages 3 to 7 (P1, P2, P4, P5)",IF(AND(I29="Yes",ISNA(MATCH(IFERROR(LEFT(D29,FIND(" ",D29&amp;" ")-1),""),{"P1","P7"},0))),"Delivery people need the Delivery profile (P7)","OK")))))</f>
        <v/>
      </c>
    </row>
    <row r="30" spans="1:14" x14ac:dyDescent="0.35">
      <c r="A30" s="12"/>
      <c r="B30" s="12"/>
      <c r="C30" s="12"/>
      <c r="D30" s="12"/>
      <c r="E30" s="11"/>
      <c r="F30" s="11"/>
      <c r="G30" s="11"/>
      <c r="H30" s="11"/>
      <c r="I30" s="11"/>
      <c r="J30" s="11"/>
      <c r="K30" s="11"/>
      <c r="L30" s="12"/>
      <c r="M30" s="12"/>
      <c r="N30" s="5" t="str">
        <f>IF(A30="","",IF(OR(C30="",D30=""),"Pick a role and a profile",IF(AND(E30="Yes",ISNA(MATCH(IFERROR(LEFT(D30,FIND(" ",D30&amp;" ")-1),""),{"P1","P2","P3","P4"},0))),"BD Owners need a profile that creates Leads (P1 to P4)",IF(AND(F30="Yes",ISNA(MATCH(IFERROR(LEFT(D30,FIND(" ",D30&amp;" ")-1),""),{"P1","P2","P4","P5"},0))),"Sales Owners need a profile that moves Stages 3 to 7 (P1, P2, P4, P5)",IF(AND(I30="Yes",ISNA(MATCH(IFERROR(LEFT(D30,FIND(" ",D30&amp;" ")-1),""),{"P1","P7"},0))),"Delivery people need the Delivery profile (P7)","OK")))))</f>
        <v/>
      </c>
    </row>
    <row r="31" spans="1:14" x14ac:dyDescent="0.35">
      <c r="A31" s="12"/>
      <c r="B31" s="12"/>
      <c r="C31" s="12"/>
      <c r="D31" s="12"/>
      <c r="E31" s="11"/>
      <c r="F31" s="11"/>
      <c r="G31" s="11"/>
      <c r="H31" s="11"/>
      <c r="I31" s="11"/>
      <c r="J31" s="11"/>
      <c r="K31" s="11"/>
      <c r="L31" s="12"/>
      <c r="M31" s="12"/>
      <c r="N31" s="5" t="str">
        <f>IF(A31="","",IF(OR(C31="",D31=""),"Pick a role and a profile",IF(AND(E31="Yes",ISNA(MATCH(IFERROR(LEFT(D31,FIND(" ",D31&amp;" ")-1),""),{"P1","P2","P3","P4"},0))),"BD Owners need a profile that creates Leads (P1 to P4)",IF(AND(F31="Yes",ISNA(MATCH(IFERROR(LEFT(D31,FIND(" ",D31&amp;" ")-1),""),{"P1","P2","P4","P5"},0))),"Sales Owners need a profile that moves Stages 3 to 7 (P1, P2, P4, P5)",IF(AND(I31="Yes",ISNA(MATCH(IFERROR(LEFT(D31,FIND(" ",D31&amp;" ")-1),""),{"P1","P7"},0))),"Delivery people need the Delivery profile (P7)","OK")))))</f>
        <v/>
      </c>
    </row>
    <row r="32" spans="1:14" x14ac:dyDescent="0.35">
      <c r="A32" s="12"/>
      <c r="B32" s="12"/>
      <c r="C32" s="12"/>
      <c r="D32" s="12"/>
      <c r="E32" s="11"/>
      <c r="F32" s="11"/>
      <c r="G32" s="11"/>
      <c r="H32" s="11"/>
      <c r="I32" s="11"/>
      <c r="J32" s="11"/>
      <c r="K32" s="11"/>
      <c r="L32" s="12"/>
      <c r="M32" s="12"/>
      <c r="N32" s="5" t="str">
        <f>IF(A32="","",IF(OR(C32="",D32=""),"Pick a role and a profile",IF(AND(E32="Yes",ISNA(MATCH(IFERROR(LEFT(D32,FIND(" ",D32&amp;" ")-1),""),{"P1","P2","P3","P4"},0))),"BD Owners need a profile that creates Leads (P1 to P4)",IF(AND(F32="Yes",ISNA(MATCH(IFERROR(LEFT(D32,FIND(" ",D32&amp;" ")-1),""),{"P1","P2","P4","P5"},0))),"Sales Owners need a profile that moves Stages 3 to 7 (P1, P2, P4, P5)",IF(AND(I32="Yes",ISNA(MATCH(IFERROR(LEFT(D32,FIND(" ",D32&amp;" ")-1),""),{"P1","P7"},0))),"Delivery people need the Delivery profile (P7)","OK")))))</f>
        <v/>
      </c>
    </row>
    <row r="33" spans="1:14" x14ac:dyDescent="0.35">
      <c r="A33" s="12"/>
      <c r="B33" s="12"/>
      <c r="C33" s="12"/>
      <c r="D33" s="12"/>
      <c r="E33" s="11"/>
      <c r="F33" s="11"/>
      <c r="G33" s="11"/>
      <c r="H33" s="11"/>
      <c r="I33" s="11"/>
      <c r="J33" s="11"/>
      <c r="K33" s="11"/>
      <c r="L33" s="12"/>
      <c r="M33" s="12"/>
      <c r="N33" s="5" t="str">
        <f>IF(A33="","",IF(OR(C33="",D33=""),"Pick a role and a profile",IF(AND(E33="Yes",ISNA(MATCH(IFERROR(LEFT(D33,FIND(" ",D33&amp;" ")-1),""),{"P1","P2","P3","P4"},0))),"BD Owners need a profile that creates Leads (P1 to P4)",IF(AND(F33="Yes",ISNA(MATCH(IFERROR(LEFT(D33,FIND(" ",D33&amp;" ")-1),""),{"P1","P2","P4","P5"},0))),"Sales Owners need a profile that moves Stages 3 to 7 (P1, P2, P4, P5)",IF(AND(I33="Yes",ISNA(MATCH(IFERROR(LEFT(D33,FIND(" ",D33&amp;" ")-1),""),{"P1","P7"},0))),"Delivery people need the Delivery profile (P7)","OK")))))</f>
        <v/>
      </c>
    </row>
    <row r="34" spans="1:14" x14ac:dyDescent="0.35">
      <c r="A34" s="12"/>
      <c r="B34" s="12"/>
      <c r="C34" s="12"/>
      <c r="D34" s="12"/>
      <c r="E34" s="11"/>
      <c r="F34" s="11"/>
      <c r="G34" s="11"/>
      <c r="H34" s="11"/>
      <c r="I34" s="11"/>
      <c r="J34" s="11"/>
      <c r="K34" s="11"/>
      <c r="L34" s="12"/>
      <c r="M34" s="12"/>
      <c r="N34" s="5" t="str">
        <f>IF(A34="","",IF(OR(C34="",D34=""),"Pick a role and a profile",IF(AND(E34="Yes",ISNA(MATCH(IFERROR(LEFT(D34,FIND(" ",D34&amp;" ")-1),""),{"P1","P2","P3","P4"},0))),"BD Owners need a profile that creates Leads (P1 to P4)",IF(AND(F34="Yes",ISNA(MATCH(IFERROR(LEFT(D34,FIND(" ",D34&amp;" ")-1),""),{"P1","P2","P4","P5"},0))),"Sales Owners need a profile that moves Stages 3 to 7 (P1, P2, P4, P5)",IF(AND(I34="Yes",ISNA(MATCH(IFERROR(LEFT(D34,FIND(" ",D34&amp;" ")-1),""),{"P1","P7"},0))),"Delivery people need the Delivery profile (P7)","OK")))))</f>
        <v/>
      </c>
    </row>
    <row r="35" spans="1:14" x14ac:dyDescent="0.35">
      <c r="A35" s="12"/>
      <c r="B35" s="12"/>
      <c r="C35" s="12"/>
      <c r="D35" s="12"/>
      <c r="E35" s="11"/>
      <c r="F35" s="11"/>
      <c r="G35" s="11"/>
      <c r="H35" s="11"/>
      <c r="I35" s="11"/>
      <c r="J35" s="11"/>
      <c r="K35" s="11"/>
      <c r="L35" s="12"/>
      <c r="M35" s="12"/>
      <c r="N35" s="5" t="str">
        <f>IF(A35="","",IF(OR(C35="",D35=""),"Pick a role and a profile",IF(AND(E35="Yes",ISNA(MATCH(IFERROR(LEFT(D35,FIND(" ",D35&amp;" ")-1),""),{"P1","P2","P3","P4"},0))),"BD Owners need a profile that creates Leads (P1 to P4)",IF(AND(F35="Yes",ISNA(MATCH(IFERROR(LEFT(D35,FIND(" ",D35&amp;" ")-1),""),{"P1","P2","P4","P5"},0))),"Sales Owners need a profile that moves Stages 3 to 7 (P1, P2, P4, P5)",IF(AND(I35="Yes",ISNA(MATCH(IFERROR(LEFT(D35,FIND(" ",D35&amp;" ")-1),""),{"P1","P7"},0))),"Delivery people need the Delivery profile (P7)","OK")))))</f>
        <v/>
      </c>
    </row>
    <row r="36" spans="1:14" x14ac:dyDescent="0.35">
      <c r="A36" s="12"/>
      <c r="B36" s="12"/>
      <c r="C36" s="12"/>
      <c r="D36" s="12"/>
      <c r="E36" s="11"/>
      <c r="F36" s="11"/>
      <c r="G36" s="11"/>
      <c r="H36" s="11"/>
      <c r="I36" s="11"/>
      <c r="J36" s="11"/>
      <c r="K36" s="11"/>
      <c r="L36" s="12"/>
      <c r="M36" s="12"/>
      <c r="N36" s="5" t="str">
        <f>IF(A36="","",IF(OR(C36="",D36=""),"Pick a role and a profile",IF(AND(E36="Yes",ISNA(MATCH(IFERROR(LEFT(D36,FIND(" ",D36&amp;" ")-1),""),{"P1","P2","P3","P4"},0))),"BD Owners need a profile that creates Leads (P1 to P4)",IF(AND(F36="Yes",ISNA(MATCH(IFERROR(LEFT(D36,FIND(" ",D36&amp;" ")-1),""),{"P1","P2","P4","P5"},0))),"Sales Owners need a profile that moves Stages 3 to 7 (P1, P2, P4, P5)",IF(AND(I36="Yes",ISNA(MATCH(IFERROR(LEFT(D36,FIND(" ",D36&amp;" ")-1),""),{"P1","P7"},0))),"Delivery people need the Delivery profile (P7)","OK")))))</f>
        <v/>
      </c>
    </row>
    <row r="37" spans="1:14" x14ac:dyDescent="0.35">
      <c r="A37" s="12"/>
      <c r="B37" s="12"/>
      <c r="C37" s="12"/>
      <c r="D37" s="12"/>
      <c r="E37" s="11"/>
      <c r="F37" s="11"/>
      <c r="G37" s="11"/>
      <c r="H37" s="11"/>
      <c r="I37" s="11"/>
      <c r="J37" s="11"/>
      <c r="K37" s="11"/>
      <c r="L37" s="12"/>
      <c r="M37" s="12"/>
      <c r="N37" s="5" t="str">
        <f>IF(A37="","",IF(OR(C37="",D37=""),"Pick a role and a profile",IF(AND(E37="Yes",ISNA(MATCH(IFERROR(LEFT(D37,FIND(" ",D37&amp;" ")-1),""),{"P1","P2","P3","P4"},0))),"BD Owners need a profile that creates Leads (P1 to P4)",IF(AND(F37="Yes",ISNA(MATCH(IFERROR(LEFT(D37,FIND(" ",D37&amp;" ")-1),""),{"P1","P2","P4","P5"},0))),"Sales Owners need a profile that moves Stages 3 to 7 (P1, P2, P4, P5)",IF(AND(I37="Yes",ISNA(MATCH(IFERROR(LEFT(D37,FIND(" ",D37&amp;" ")-1),""),{"P1","P7"},0))),"Delivery people need the Delivery profile (P7)","OK")))))</f>
        <v/>
      </c>
    </row>
    <row r="38" spans="1:14" x14ac:dyDescent="0.35">
      <c r="A38" s="12"/>
      <c r="B38" s="12"/>
      <c r="C38" s="12"/>
      <c r="D38" s="12"/>
      <c r="E38" s="11"/>
      <c r="F38" s="11"/>
      <c r="G38" s="11"/>
      <c r="H38" s="11"/>
      <c r="I38" s="11"/>
      <c r="J38" s="11"/>
      <c r="K38" s="11"/>
      <c r="L38" s="12"/>
      <c r="M38" s="12"/>
      <c r="N38" s="5" t="str">
        <f>IF(A38="","",IF(OR(C38="",D38=""),"Pick a role and a profile",IF(AND(E38="Yes",ISNA(MATCH(IFERROR(LEFT(D38,FIND(" ",D38&amp;" ")-1),""),{"P1","P2","P3","P4"},0))),"BD Owners need a profile that creates Leads (P1 to P4)",IF(AND(F38="Yes",ISNA(MATCH(IFERROR(LEFT(D38,FIND(" ",D38&amp;" ")-1),""),{"P1","P2","P4","P5"},0))),"Sales Owners need a profile that moves Stages 3 to 7 (P1, P2, P4, P5)",IF(AND(I38="Yes",ISNA(MATCH(IFERROR(LEFT(D38,FIND(" ",D38&amp;" ")-1),""),{"P1","P7"},0))),"Delivery people need the Delivery profile (P7)","OK")))))</f>
        <v/>
      </c>
    </row>
    <row r="39" spans="1:14" x14ac:dyDescent="0.35">
      <c r="A39" s="12"/>
      <c r="B39" s="12"/>
      <c r="C39" s="12"/>
      <c r="D39" s="12"/>
      <c r="E39" s="11"/>
      <c r="F39" s="11"/>
      <c r="G39" s="11"/>
      <c r="H39" s="11"/>
      <c r="I39" s="11"/>
      <c r="J39" s="11"/>
      <c r="K39" s="11"/>
      <c r="L39" s="12"/>
      <c r="M39" s="12"/>
      <c r="N39" s="5" t="str">
        <f>IF(A39="","",IF(OR(C39="",D39=""),"Pick a role and a profile",IF(AND(E39="Yes",ISNA(MATCH(IFERROR(LEFT(D39,FIND(" ",D39&amp;" ")-1),""),{"P1","P2","P3","P4"},0))),"BD Owners need a profile that creates Leads (P1 to P4)",IF(AND(F39="Yes",ISNA(MATCH(IFERROR(LEFT(D39,FIND(" ",D39&amp;" ")-1),""),{"P1","P2","P4","P5"},0))),"Sales Owners need a profile that moves Stages 3 to 7 (P1, P2, P4, P5)",IF(AND(I39="Yes",ISNA(MATCH(IFERROR(LEFT(D39,FIND(" ",D39&amp;" ")-1),""),{"P1","P7"},0))),"Delivery people need the Delivery profile (P7)","OK")))))</f>
        <v/>
      </c>
    </row>
    <row r="40" spans="1:14" x14ac:dyDescent="0.35">
      <c r="A40" s="12"/>
      <c r="B40" s="12"/>
      <c r="C40" s="12"/>
      <c r="D40" s="12"/>
      <c r="E40" s="11"/>
      <c r="F40" s="11"/>
      <c r="G40" s="11"/>
      <c r="H40" s="11"/>
      <c r="I40" s="11"/>
      <c r="J40" s="11"/>
      <c r="K40" s="11"/>
      <c r="L40" s="12"/>
      <c r="M40" s="12"/>
      <c r="N40" s="5" t="str">
        <f>IF(A40="","",IF(OR(C40="",D40=""),"Pick a role and a profile",IF(AND(E40="Yes",ISNA(MATCH(IFERROR(LEFT(D40,FIND(" ",D40&amp;" ")-1),""),{"P1","P2","P3","P4"},0))),"BD Owners need a profile that creates Leads (P1 to P4)",IF(AND(F40="Yes",ISNA(MATCH(IFERROR(LEFT(D40,FIND(" ",D40&amp;" ")-1),""),{"P1","P2","P4","P5"},0))),"Sales Owners need a profile that moves Stages 3 to 7 (P1, P2, P4, P5)",IF(AND(I40="Yes",ISNA(MATCH(IFERROR(LEFT(D40,FIND(" ",D40&amp;" ")-1),""),{"P1","P7"},0))),"Delivery people need the Delivery profile (P7)","OK")))))</f>
        <v/>
      </c>
    </row>
    <row r="41" spans="1:14" x14ac:dyDescent="0.35">
      <c r="A41" s="12"/>
      <c r="B41" s="12"/>
      <c r="C41" s="12"/>
      <c r="D41" s="12"/>
      <c r="E41" s="11"/>
      <c r="F41" s="11"/>
      <c r="G41" s="11"/>
      <c r="H41" s="11"/>
      <c r="I41" s="11"/>
      <c r="J41" s="11"/>
      <c r="K41" s="11"/>
      <c r="L41" s="12"/>
      <c r="M41" s="12"/>
      <c r="N41" s="5" t="str">
        <f>IF(A41="","",IF(OR(C41="",D41=""),"Pick a role and a profile",IF(AND(E41="Yes",ISNA(MATCH(IFERROR(LEFT(D41,FIND(" ",D41&amp;" ")-1),""),{"P1","P2","P3","P4"},0))),"BD Owners need a profile that creates Leads (P1 to P4)",IF(AND(F41="Yes",ISNA(MATCH(IFERROR(LEFT(D41,FIND(" ",D41&amp;" ")-1),""),{"P1","P2","P4","P5"},0))),"Sales Owners need a profile that moves Stages 3 to 7 (P1, P2, P4, P5)",IF(AND(I41="Yes",ISNA(MATCH(IFERROR(LEFT(D41,FIND(" ",D41&amp;" ")-1),""),{"P1","P7"},0))),"Delivery people need the Delivery profile (P7)","OK")))))</f>
        <v/>
      </c>
    </row>
    <row r="42" spans="1:14" x14ac:dyDescent="0.35">
      <c r="A42" s="12"/>
      <c r="B42" s="12"/>
      <c r="C42" s="12"/>
      <c r="D42" s="12"/>
      <c r="E42" s="11"/>
      <c r="F42" s="11"/>
      <c r="G42" s="11"/>
      <c r="H42" s="11"/>
      <c r="I42" s="11"/>
      <c r="J42" s="11"/>
      <c r="K42" s="11"/>
      <c r="L42" s="12"/>
      <c r="M42" s="12"/>
      <c r="N42" s="5" t="str">
        <f>IF(A42="","",IF(OR(C42="",D42=""),"Pick a role and a profile",IF(AND(E42="Yes",ISNA(MATCH(IFERROR(LEFT(D42,FIND(" ",D42&amp;" ")-1),""),{"P1","P2","P3","P4"},0))),"BD Owners need a profile that creates Leads (P1 to P4)",IF(AND(F42="Yes",ISNA(MATCH(IFERROR(LEFT(D42,FIND(" ",D42&amp;" ")-1),""),{"P1","P2","P4","P5"},0))),"Sales Owners need a profile that moves Stages 3 to 7 (P1, P2, P4, P5)",IF(AND(I42="Yes",ISNA(MATCH(IFERROR(LEFT(D42,FIND(" ",D42&amp;" ")-1),""),{"P1","P7"},0))),"Delivery people need the Delivery profile (P7)","OK")))))</f>
        <v/>
      </c>
    </row>
    <row r="43" spans="1:14" x14ac:dyDescent="0.35">
      <c r="A43" s="12"/>
      <c r="B43" s="12"/>
      <c r="C43" s="12"/>
      <c r="D43" s="12"/>
      <c r="E43" s="11"/>
      <c r="F43" s="11"/>
      <c r="G43" s="11"/>
      <c r="H43" s="11"/>
      <c r="I43" s="11"/>
      <c r="J43" s="11"/>
      <c r="K43" s="11"/>
      <c r="L43" s="12"/>
      <c r="M43" s="12"/>
      <c r="N43" s="5" t="str">
        <f>IF(A43="","",IF(OR(C43="",D43=""),"Pick a role and a profile",IF(AND(E43="Yes",ISNA(MATCH(IFERROR(LEFT(D43,FIND(" ",D43&amp;" ")-1),""),{"P1","P2","P3","P4"},0))),"BD Owners need a profile that creates Leads (P1 to P4)",IF(AND(F43="Yes",ISNA(MATCH(IFERROR(LEFT(D43,FIND(" ",D43&amp;" ")-1),""),{"P1","P2","P4","P5"},0))),"Sales Owners need a profile that moves Stages 3 to 7 (P1, P2, P4, P5)",IF(AND(I43="Yes",ISNA(MATCH(IFERROR(LEFT(D43,FIND(" ",D43&amp;" ")-1),""),{"P1","P7"},0))),"Delivery people need the Delivery profile (P7)","OK")))))</f>
        <v/>
      </c>
    </row>
    <row r="44" spans="1:14" x14ac:dyDescent="0.35">
      <c r="A44" s="12"/>
      <c r="B44" s="12"/>
      <c r="C44" s="12"/>
      <c r="D44" s="12"/>
      <c r="E44" s="11"/>
      <c r="F44" s="11"/>
      <c r="G44" s="11"/>
      <c r="H44" s="11"/>
      <c r="I44" s="11"/>
      <c r="J44" s="11"/>
      <c r="K44" s="11"/>
      <c r="L44" s="12"/>
      <c r="M44" s="12"/>
      <c r="N44" s="5" t="str">
        <f>IF(A44="","",IF(OR(C44="",D44=""),"Pick a role and a profile",IF(AND(E44="Yes",ISNA(MATCH(IFERROR(LEFT(D44,FIND(" ",D44&amp;" ")-1),""),{"P1","P2","P3","P4"},0))),"BD Owners need a profile that creates Leads (P1 to P4)",IF(AND(F44="Yes",ISNA(MATCH(IFERROR(LEFT(D44,FIND(" ",D44&amp;" ")-1),""),{"P1","P2","P4","P5"},0))),"Sales Owners need a profile that moves Stages 3 to 7 (P1, P2, P4, P5)",IF(AND(I44="Yes",ISNA(MATCH(IFERROR(LEFT(D44,FIND(" ",D44&amp;" ")-1),""),{"P1","P7"},0))),"Delivery people need the Delivery profile (P7)","OK")))))</f>
        <v/>
      </c>
    </row>
    <row r="45" spans="1:14" x14ac:dyDescent="0.35">
      <c r="A45" s="12"/>
      <c r="B45" s="12"/>
      <c r="C45" s="12"/>
      <c r="D45" s="12"/>
      <c r="E45" s="11"/>
      <c r="F45" s="11"/>
      <c r="G45" s="11"/>
      <c r="H45" s="11"/>
      <c r="I45" s="11"/>
      <c r="J45" s="11"/>
      <c r="K45" s="11"/>
      <c r="L45" s="12"/>
      <c r="M45" s="12"/>
      <c r="N45" s="5" t="str">
        <f>IF(A45="","",IF(OR(C45="",D45=""),"Pick a role and a profile",IF(AND(E45="Yes",ISNA(MATCH(IFERROR(LEFT(D45,FIND(" ",D45&amp;" ")-1),""),{"P1","P2","P3","P4"},0))),"BD Owners need a profile that creates Leads (P1 to P4)",IF(AND(F45="Yes",ISNA(MATCH(IFERROR(LEFT(D45,FIND(" ",D45&amp;" ")-1),""),{"P1","P2","P4","P5"},0))),"Sales Owners need a profile that moves Stages 3 to 7 (P1, P2, P4, P5)",IF(AND(I45="Yes",ISNA(MATCH(IFERROR(LEFT(D45,FIND(" ",D45&amp;" ")-1),""),{"P1","P7"},0))),"Delivery people need the Delivery profile (P7)","OK")))))</f>
        <v/>
      </c>
    </row>
    <row r="46" spans="1:14" x14ac:dyDescent="0.35">
      <c r="A46" s="12"/>
      <c r="B46" s="12"/>
      <c r="C46" s="12"/>
      <c r="D46" s="12"/>
      <c r="E46" s="11"/>
      <c r="F46" s="11"/>
      <c r="G46" s="11"/>
      <c r="H46" s="11"/>
      <c r="I46" s="11"/>
      <c r="J46" s="11"/>
      <c r="K46" s="11"/>
      <c r="L46" s="12"/>
      <c r="M46" s="12"/>
      <c r="N46" s="5" t="str">
        <f>IF(A46="","",IF(OR(C46="",D46=""),"Pick a role and a profile",IF(AND(E46="Yes",ISNA(MATCH(IFERROR(LEFT(D46,FIND(" ",D46&amp;" ")-1),""),{"P1","P2","P3","P4"},0))),"BD Owners need a profile that creates Leads (P1 to P4)",IF(AND(F46="Yes",ISNA(MATCH(IFERROR(LEFT(D46,FIND(" ",D46&amp;" ")-1),""),{"P1","P2","P4","P5"},0))),"Sales Owners need a profile that moves Stages 3 to 7 (P1, P2, P4, P5)",IF(AND(I46="Yes",ISNA(MATCH(IFERROR(LEFT(D46,FIND(" ",D46&amp;" ")-1),""),{"P1","P7"},0))),"Delivery people need the Delivery profile (P7)","OK")))))</f>
        <v/>
      </c>
    </row>
    <row r="47" spans="1:14" x14ac:dyDescent="0.35">
      <c r="A47" s="12"/>
      <c r="B47" s="12"/>
      <c r="C47" s="12"/>
      <c r="D47" s="12"/>
      <c r="E47" s="11"/>
      <c r="F47" s="11"/>
      <c r="G47" s="11"/>
      <c r="H47" s="11"/>
      <c r="I47" s="11"/>
      <c r="J47" s="11"/>
      <c r="K47" s="11"/>
      <c r="L47" s="12"/>
      <c r="M47" s="12"/>
      <c r="N47" s="5" t="str">
        <f>IF(A47="","",IF(OR(C47="",D47=""),"Pick a role and a profile",IF(AND(E47="Yes",ISNA(MATCH(IFERROR(LEFT(D47,FIND(" ",D47&amp;" ")-1),""),{"P1","P2","P3","P4"},0))),"BD Owners need a profile that creates Leads (P1 to P4)",IF(AND(F47="Yes",ISNA(MATCH(IFERROR(LEFT(D47,FIND(" ",D47&amp;" ")-1),""),{"P1","P2","P4","P5"},0))),"Sales Owners need a profile that moves Stages 3 to 7 (P1, P2, P4, P5)",IF(AND(I47="Yes",ISNA(MATCH(IFERROR(LEFT(D47,FIND(" ",D47&amp;" ")-1),""),{"P1","P7"},0))),"Delivery people need the Delivery profile (P7)","OK")))))</f>
        <v/>
      </c>
    </row>
    <row r="48" spans="1:14" x14ac:dyDescent="0.35">
      <c r="A48" s="12"/>
      <c r="B48" s="12"/>
      <c r="C48" s="12"/>
      <c r="D48" s="12"/>
      <c r="E48" s="11"/>
      <c r="F48" s="11"/>
      <c r="G48" s="11"/>
      <c r="H48" s="11"/>
      <c r="I48" s="11"/>
      <c r="J48" s="11"/>
      <c r="K48" s="11"/>
      <c r="L48" s="12"/>
      <c r="M48" s="12"/>
      <c r="N48" s="5" t="str">
        <f>IF(A48="","",IF(OR(C48="",D48=""),"Pick a role and a profile",IF(AND(E48="Yes",ISNA(MATCH(IFERROR(LEFT(D48,FIND(" ",D48&amp;" ")-1),""),{"P1","P2","P3","P4"},0))),"BD Owners need a profile that creates Leads (P1 to P4)",IF(AND(F48="Yes",ISNA(MATCH(IFERROR(LEFT(D48,FIND(" ",D48&amp;" ")-1),""),{"P1","P2","P4","P5"},0))),"Sales Owners need a profile that moves Stages 3 to 7 (P1, P2, P4, P5)",IF(AND(I48="Yes",ISNA(MATCH(IFERROR(LEFT(D48,FIND(" ",D48&amp;" ")-1),""),{"P1","P7"},0))),"Delivery people need the Delivery profile (P7)","OK")))))</f>
        <v/>
      </c>
    </row>
    <row r="49" spans="1:14" x14ac:dyDescent="0.35">
      <c r="A49" s="12"/>
      <c r="B49" s="12"/>
      <c r="C49" s="12"/>
      <c r="D49" s="12"/>
      <c r="E49" s="11"/>
      <c r="F49" s="11"/>
      <c r="G49" s="11"/>
      <c r="H49" s="11"/>
      <c r="I49" s="11"/>
      <c r="J49" s="11"/>
      <c r="K49" s="11"/>
      <c r="L49" s="12"/>
      <c r="M49" s="12"/>
      <c r="N49" s="5" t="str">
        <f>IF(A49="","",IF(OR(C49="",D49=""),"Pick a role and a profile",IF(AND(E49="Yes",ISNA(MATCH(IFERROR(LEFT(D49,FIND(" ",D49&amp;" ")-1),""),{"P1","P2","P3","P4"},0))),"BD Owners need a profile that creates Leads (P1 to P4)",IF(AND(F49="Yes",ISNA(MATCH(IFERROR(LEFT(D49,FIND(" ",D49&amp;" ")-1),""),{"P1","P2","P4","P5"},0))),"Sales Owners need a profile that moves Stages 3 to 7 (P1, P2, P4, P5)",IF(AND(I49="Yes",ISNA(MATCH(IFERROR(LEFT(D49,FIND(" ",D49&amp;" ")-1),""),{"P1","P7"},0))),"Delivery people need the Delivery profile (P7)","OK")))))</f>
        <v/>
      </c>
    </row>
    <row r="50" spans="1:14" x14ac:dyDescent="0.35">
      <c r="A50" s="12"/>
      <c r="B50" s="12"/>
      <c r="C50" s="12"/>
      <c r="D50" s="12"/>
      <c r="E50" s="11"/>
      <c r="F50" s="11"/>
      <c r="G50" s="11"/>
      <c r="H50" s="11"/>
      <c r="I50" s="11"/>
      <c r="J50" s="11"/>
      <c r="K50" s="11"/>
      <c r="L50" s="12"/>
      <c r="M50" s="12"/>
      <c r="N50" s="5" t="str">
        <f>IF(A50="","",IF(OR(C50="",D50=""),"Pick a role and a profile",IF(AND(E50="Yes",ISNA(MATCH(IFERROR(LEFT(D50,FIND(" ",D50&amp;" ")-1),""),{"P1","P2","P3","P4"},0))),"BD Owners need a profile that creates Leads (P1 to P4)",IF(AND(F50="Yes",ISNA(MATCH(IFERROR(LEFT(D50,FIND(" ",D50&amp;" ")-1),""),{"P1","P2","P4","P5"},0))),"Sales Owners need a profile that moves Stages 3 to 7 (P1, P2, P4, P5)",IF(AND(I50="Yes",ISNA(MATCH(IFERROR(LEFT(D50,FIND(" ",D50&amp;" ")-1),""),{"P1","P7"},0))),"Delivery people need the Delivery profile (P7)","OK")))))</f>
        <v/>
      </c>
    </row>
    <row r="51" spans="1:14" x14ac:dyDescent="0.35">
      <c r="A51" s="12"/>
      <c r="B51" s="12"/>
      <c r="C51" s="12"/>
      <c r="D51" s="12"/>
      <c r="E51" s="11"/>
      <c r="F51" s="11"/>
      <c r="G51" s="11"/>
      <c r="H51" s="11"/>
      <c r="I51" s="11"/>
      <c r="J51" s="11"/>
      <c r="K51" s="11"/>
      <c r="L51" s="12"/>
      <c r="M51" s="12"/>
      <c r="N51" s="5" t="str">
        <f>IF(A51="","",IF(OR(C51="",D51=""),"Pick a role and a profile",IF(AND(E51="Yes",ISNA(MATCH(IFERROR(LEFT(D51,FIND(" ",D51&amp;" ")-1),""),{"P1","P2","P3","P4"},0))),"BD Owners need a profile that creates Leads (P1 to P4)",IF(AND(F51="Yes",ISNA(MATCH(IFERROR(LEFT(D51,FIND(" ",D51&amp;" ")-1),""),{"P1","P2","P4","P5"},0))),"Sales Owners need a profile that moves Stages 3 to 7 (P1, P2, P4, P5)",IF(AND(I51="Yes",ISNA(MATCH(IFERROR(LEFT(D51,FIND(" ",D51&amp;" ")-1),""),{"P1","P7"},0))),"Delivery people need the Delivery profile (P7)","OK")))))</f>
        <v/>
      </c>
    </row>
    <row r="52" spans="1:14" x14ac:dyDescent="0.35">
      <c r="A52" s="12"/>
      <c r="B52" s="12"/>
      <c r="C52" s="12"/>
      <c r="D52" s="12"/>
      <c r="E52" s="11"/>
      <c r="F52" s="11"/>
      <c r="G52" s="11"/>
      <c r="H52" s="11"/>
      <c r="I52" s="11"/>
      <c r="J52" s="11"/>
      <c r="K52" s="11"/>
      <c r="L52" s="12"/>
      <c r="M52" s="12"/>
      <c r="N52" s="5" t="str">
        <f>IF(A52="","",IF(OR(C52="",D52=""),"Pick a role and a profile",IF(AND(E52="Yes",ISNA(MATCH(IFERROR(LEFT(D52,FIND(" ",D52&amp;" ")-1),""),{"P1","P2","P3","P4"},0))),"BD Owners need a profile that creates Leads (P1 to P4)",IF(AND(F52="Yes",ISNA(MATCH(IFERROR(LEFT(D52,FIND(" ",D52&amp;" ")-1),""),{"P1","P2","P4","P5"},0))),"Sales Owners need a profile that moves Stages 3 to 7 (P1, P2, P4, P5)",IF(AND(I52="Yes",ISNA(MATCH(IFERROR(LEFT(D52,FIND(" ",D52&amp;" ")-1),""),{"P1","P7"},0))),"Delivery people need the Delivery profile (P7)","OK")))))</f>
        <v/>
      </c>
    </row>
    <row r="53" spans="1:14" x14ac:dyDescent="0.35">
      <c r="A53" s="12"/>
      <c r="B53" s="12"/>
      <c r="C53" s="12"/>
      <c r="D53" s="12"/>
      <c r="E53" s="11"/>
      <c r="F53" s="11"/>
      <c r="G53" s="11"/>
      <c r="H53" s="11"/>
      <c r="I53" s="11"/>
      <c r="J53" s="11"/>
      <c r="K53" s="11"/>
      <c r="L53" s="12"/>
      <c r="M53" s="12"/>
      <c r="N53" s="5" t="str">
        <f>IF(A53="","",IF(OR(C53="",D53=""),"Pick a role and a profile",IF(AND(E53="Yes",ISNA(MATCH(IFERROR(LEFT(D53,FIND(" ",D53&amp;" ")-1),""),{"P1","P2","P3","P4"},0))),"BD Owners need a profile that creates Leads (P1 to P4)",IF(AND(F53="Yes",ISNA(MATCH(IFERROR(LEFT(D53,FIND(" ",D53&amp;" ")-1),""),{"P1","P2","P4","P5"},0))),"Sales Owners need a profile that moves Stages 3 to 7 (P1, P2, P4, P5)",IF(AND(I53="Yes",ISNA(MATCH(IFERROR(LEFT(D53,FIND(" ",D53&amp;" ")-1),""),{"P1","P7"},0))),"Delivery people need the Delivery profile (P7)","OK")))))</f>
        <v/>
      </c>
    </row>
    <row r="54" spans="1:14" x14ac:dyDescent="0.35">
      <c r="A54" s="12"/>
      <c r="B54" s="12"/>
      <c r="C54" s="12"/>
      <c r="D54" s="12"/>
      <c r="E54" s="11"/>
      <c r="F54" s="11"/>
      <c r="G54" s="11"/>
      <c r="H54" s="11"/>
      <c r="I54" s="11"/>
      <c r="J54" s="11"/>
      <c r="K54" s="11"/>
      <c r="L54" s="12"/>
      <c r="M54" s="12"/>
      <c r="N54" s="5" t="str">
        <f>IF(A54="","",IF(OR(C54="",D54=""),"Pick a role and a profile",IF(AND(E54="Yes",ISNA(MATCH(IFERROR(LEFT(D54,FIND(" ",D54&amp;" ")-1),""),{"P1","P2","P3","P4"},0))),"BD Owners need a profile that creates Leads (P1 to P4)",IF(AND(F54="Yes",ISNA(MATCH(IFERROR(LEFT(D54,FIND(" ",D54&amp;" ")-1),""),{"P1","P2","P4","P5"},0))),"Sales Owners need a profile that moves Stages 3 to 7 (P1, P2, P4, P5)",IF(AND(I54="Yes",ISNA(MATCH(IFERROR(LEFT(D54,FIND(" ",D54&amp;" ")-1),""),{"P1","P7"},0))),"Delivery people need the Delivery profile (P7)","OK")))))</f>
        <v/>
      </c>
    </row>
    <row r="55" spans="1:14" x14ac:dyDescent="0.35">
      <c r="A55" s="12"/>
      <c r="B55" s="12"/>
      <c r="C55" s="12"/>
      <c r="D55" s="12"/>
      <c r="E55" s="11"/>
      <c r="F55" s="11"/>
      <c r="G55" s="11"/>
      <c r="H55" s="11"/>
      <c r="I55" s="11"/>
      <c r="J55" s="11"/>
      <c r="K55" s="11"/>
      <c r="L55" s="12"/>
      <c r="M55" s="12"/>
      <c r="N55" s="5" t="str">
        <f>IF(A55="","",IF(OR(C55="",D55=""),"Pick a role and a profile",IF(AND(E55="Yes",ISNA(MATCH(IFERROR(LEFT(D55,FIND(" ",D55&amp;" ")-1),""),{"P1","P2","P3","P4"},0))),"BD Owners need a profile that creates Leads (P1 to P4)",IF(AND(F55="Yes",ISNA(MATCH(IFERROR(LEFT(D55,FIND(" ",D55&amp;" ")-1),""),{"P1","P2","P4","P5"},0))),"Sales Owners need a profile that moves Stages 3 to 7 (P1, P2, P4, P5)",IF(AND(I55="Yes",ISNA(MATCH(IFERROR(LEFT(D55,FIND(" ",D55&amp;" ")-1),""),{"P1","P7"},0))),"Delivery people need the Delivery profile (P7)","OK")))))</f>
        <v/>
      </c>
    </row>
    <row r="56" spans="1:14" x14ac:dyDescent="0.35">
      <c r="A56" s="12"/>
      <c r="B56" s="12"/>
      <c r="C56" s="12"/>
      <c r="D56" s="12"/>
      <c r="E56" s="11"/>
      <c r="F56" s="11"/>
      <c r="G56" s="11"/>
      <c r="H56" s="11"/>
      <c r="I56" s="11"/>
      <c r="J56" s="11"/>
      <c r="K56" s="11"/>
      <c r="L56" s="12"/>
      <c r="M56" s="12"/>
      <c r="N56" s="5" t="str">
        <f>IF(A56="","",IF(OR(C56="",D56=""),"Pick a role and a profile",IF(AND(E56="Yes",ISNA(MATCH(IFERROR(LEFT(D56,FIND(" ",D56&amp;" ")-1),""),{"P1","P2","P3","P4"},0))),"BD Owners need a profile that creates Leads (P1 to P4)",IF(AND(F56="Yes",ISNA(MATCH(IFERROR(LEFT(D56,FIND(" ",D56&amp;" ")-1),""),{"P1","P2","P4","P5"},0))),"Sales Owners need a profile that moves Stages 3 to 7 (P1, P2, P4, P5)",IF(AND(I56="Yes",ISNA(MATCH(IFERROR(LEFT(D56,FIND(" ",D56&amp;" ")-1),""),{"P1","P7"},0))),"Delivery people need the Delivery profile (P7)","OK")))))</f>
        <v/>
      </c>
    </row>
    <row r="57" spans="1:14" x14ac:dyDescent="0.35">
      <c r="A57" s="12"/>
      <c r="B57" s="12"/>
      <c r="C57" s="12"/>
      <c r="D57" s="12"/>
      <c r="E57" s="11"/>
      <c r="F57" s="11"/>
      <c r="G57" s="11"/>
      <c r="H57" s="11"/>
      <c r="I57" s="11"/>
      <c r="J57" s="11"/>
      <c r="K57" s="11"/>
      <c r="L57" s="12"/>
      <c r="M57" s="12"/>
      <c r="N57" s="5" t="str">
        <f>IF(A57="","",IF(OR(C57="",D57=""),"Pick a role and a profile",IF(AND(E57="Yes",ISNA(MATCH(IFERROR(LEFT(D57,FIND(" ",D57&amp;" ")-1),""),{"P1","P2","P3","P4"},0))),"BD Owners need a profile that creates Leads (P1 to P4)",IF(AND(F57="Yes",ISNA(MATCH(IFERROR(LEFT(D57,FIND(" ",D57&amp;" ")-1),""),{"P1","P2","P4","P5"},0))),"Sales Owners need a profile that moves Stages 3 to 7 (P1, P2, P4, P5)",IF(AND(I57="Yes",ISNA(MATCH(IFERROR(LEFT(D57,FIND(" ",D57&amp;" ")-1),""),{"P1","P7"},0))),"Delivery people need the Delivery profile (P7)","OK")))))</f>
        <v/>
      </c>
    </row>
    <row r="58" spans="1:14" x14ac:dyDescent="0.35">
      <c r="A58" s="12"/>
      <c r="B58" s="12"/>
      <c r="C58" s="12"/>
      <c r="D58" s="12"/>
      <c r="E58" s="11"/>
      <c r="F58" s="11"/>
      <c r="G58" s="11"/>
      <c r="H58" s="11"/>
      <c r="I58" s="11"/>
      <c r="J58" s="11"/>
      <c r="K58" s="11"/>
      <c r="L58" s="12"/>
      <c r="M58" s="12"/>
      <c r="N58" s="5" t="str">
        <f>IF(A58="","",IF(OR(C58="",D58=""),"Pick a role and a profile",IF(AND(E58="Yes",ISNA(MATCH(IFERROR(LEFT(D58,FIND(" ",D58&amp;" ")-1),""),{"P1","P2","P3","P4"},0))),"BD Owners need a profile that creates Leads (P1 to P4)",IF(AND(F58="Yes",ISNA(MATCH(IFERROR(LEFT(D58,FIND(" ",D58&amp;" ")-1),""),{"P1","P2","P4","P5"},0))),"Sales Owners need a profile that moves Stages 3 to 7 (P1, P2, P4, P5)",IF(AND(I58="Yes",ISNA(MATCH(IFERROR(LEFT(D58,FIND(" ",D58&amp;" ")-1),""),{"P1","P7"},0))),"Delivery people need the Delivery profile (P7)","OK")))))</f>
        <v/>
      </c>
    </row>
  </sheetData>
  <conditionalFormatting sqref="N8:N58">
    <cfRule type="expression" dxfId="4" priority="1">
      <formula>AND(N8&lt;&gt;"",N8&lt;&gt;"OK")</formula>
    </cfRule>
    <cfRule type="cellIs" dxfId="3" priority="2" operator="equal">
      <formula>"OK"</formula>
    </cfRule>
  </conditionalFormatting>
  <conditionalFormatting sqref="E8:K58">
    <cfRule type="cellIs" dxfId="2" priority="3" operator="equal">
      <formula>"Yes"</formula>
    </cfRule>
  </conditionalFormatting>
  <conditionalFormatting sqref="C4">
    <cfRule type="cellIs" dxfId="1" priority="4" operator="notEqual">
      <formula>"OK"</formula>
    </cfRule>
  </conditionalFormatting>
  <dataValidations count="3">
    <dataValidation type="list" allowBlank="1" sqref="C8:C58" xr:uid="{00000000-0002-0000-0500-000000000000}">
      <formula1>RoleList</formula1>
    </dataValidation>
    <dataValidation type="list" allowBlank="1" sqref="D8:D58" xr:uid="{00000000-0002-0000-0500-000001000000}">
      <formula1>ProfileList</formula1>
    </dataValidation>
    <dataValidation type="list" allowBlank="1" errorTitle="Not in the list" error="Pick from the list, or leave blank." sqref="E8:K58" xr:uid="{00000000-0002-0000-0500-000002000000}">
      <formula1>"Yes,No"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4"/>
  <sheetViews>
    <sheetView showGridLines="0" tabSelected="1" workbookViewId="0">
      <pane xSplit="3" ySplit="4" topLeftCell="G29" activePane="bottomRight" state="frozen"/>
      <selection pane="topRight"/>
      <selection pane="bottomLeft"/>
      <selection pane="bottomRight" activeCell="G31" sqref="G31"/>
    </sheetView>
  </sheetViews>
  <sheetFormatPr defaultRowHeight="14.5" x14ac:dyDescent="0.35"/>
  <cols>
    <col min="1" max="1" width="5" customWidth="1"/>
    <col min="2" max="2" width="16" customWidth="1"/>
    <col min="3" max="3" width="46" customWidth="1"/>
    <col min="4" max="4" width="42" customWidth="1"/>
    <col min="5" max="7" width="34" customWidth="1"/>
    <col min="8" max="8" width="36" customWidth="1"/>
  </cols>
  <sheetData>
    <row r="1" spans="1:8" ht="19" x14ac:dyDescent="0.4">
      <c r="A1" s="1" t="s">
        <v>322</v>
      </c>
    </row>
    <row r="2" spans="1:8" x14ac:dyDescent="0.35">
      <c r="A2" s="2" t="s">
        <v>323</v>
      </c>
    </row>
    <row r="4" spans="1:8" x14ac:dyDescent="0.35">
      <c r="A4" s="3" t="s">
        <v>113</v>
      </c>
      <c r="B4" s="3" t="s">
        <v>324</v>
      </c>
      <c r="C4" s="3" t="s">
        <v>325</v>
      </c>
      <c r="D4" s="3" t="s">
        <v>326</v>
      </c>
      <c r="E4" s="3" t="s">
        <v>327</v>
      </c>
      <c r="F4" s="3" t="s">
        <v>328</v>
      </c>
      <c r="G4" s="3" t="s">
        <v>329</v>
      </c>
      <c r="H4" s="3" t="s">
        <v>330</v>
      </c>
    </row>
    <row r="5" spans="1:8" ht="44" customHeight="1" x14ac:dyDescent="0.35">
      <c r="A5" s="14">
        <v>1</v>
      </c>
      <c r="B5" s="4" t="s">
        <v>26</v>
      </c>
      <c r="C5" s="4" t="s">
        <v>331</v>
      </c>
      <c r="D5" s="5" t="s">
        <v>332</v>
      </c>
      <c r="E5" s="9" t="s">
        <v>333</v>
      </c>
      <c r="F5" s="14" t="s">
        <v>91</v>
      </c>
      <c r="G5" s="12" t="s">
        <v>435</v>
      </c>
      <c r="H5" s="12"/>
    </row>
    <row r="6" spans="1:8" ht="44" customHeight="1" x14ac:dyDescent="0.35">
      <c r="A6" s="14">
        <v>2</v>
      </c>
      <c r="B6" s="4" t="s">
        <v>26</v>
      </c>
      <c r="C6" s="4" t="s">
        <v>334</v>
      </c>
      <c r="D6" s="5" t="s">
        <v>335</v>
      </c>
      <c r="E6" s="9" t="s">
        <v>336</v>
      </c>
      <c r="F6" s="14" t="s">
        <v>91</v>
      </c>
      <c r="G6" s="12"/>
      <c r="H6" s="12"/>
    </row>
    <row r="7" spans="1:8" ht="44" customHeight="1" x14ac:dyDescent="0.35">
      <c r="A7" s="14">
        <v>3</v>
      </c>
      <c r="B7" s="4" t="s">
        <v>337</v>
      </c>
      <c r="C7" s="4" t="s">
        <v>338</v>
      </c>
      <c r="D7" s="5" t="s">
        <v>339</v>
      </c>
      <c r="E7" s="9" t="s">
        <v>340</v>
      </c>
      <c r="F7" s="14" t="s">
        <v>91</v>
      </c>
      <c r="G7" s="12" t="s">
        <v>436</v>
      </c>
      <c r="H7" s="12"/>
    </row>
    <row r="8" spans="1:8" ht="44" customHeight="1" x14ac:dyDescent="0.35">
      <c r="A8" s="14">
        <v>4</v>
      </c>
      <c r="B8" s="4" t="s">
        <v>337</v>
      </c>
      <c r="C8" s="4" t="s">
        <v>341</v>
      </c>
      <c r="D8" s="5" t="s">
        <v>342</v>
      </c>
      <c r="E8" s="9" t="s">
        <v>343</v>
      </c>
      <c r="F8" s="14" t="s">
        <v>91</v>
      </c>
      <c r="G8" s="12" t="s">
        <v>437</v>
      </c>
      <c r="H8" s="12"/>
    </row>
    <row r="9" spans="1:8" ht="44" customHeight="1" x14ac:dyDescent="0.35">
      <c r="A9" s="14">
        <v>5</v>
      </c>
      <c r="B9" s="4" t="s">
        <v>337</v>
      </c>
      <c r="C9" s="4" t="s">
        <v>344</v>
      </c>
      <c r="D9" s="5" t="s">
        <v>345</v>
      </c>
      <c r="E9" s="9" t="s">
        <v>346</v>
      </c>
      <c r="F9" s="14" t="s">
        <v>91</v>
      </c>
      <c r="G9" s="12" t="s">
        <v>346</v>
      </c>
      <c r="H9" s="12"/>
    </row>
    <row r="10" spans="1:8" ht="44" customHeight="1" x14ac:dyDescent="0.35">
      <c r="A10" s="14">
        <v>6</v>
      </c>
      <c r="B10" s="4" t="s">
        <v>337</v>
      </c>
      <c r="C10" s="4" t="s">
        <v>347</v>
      </c>
      <c r="D10" s="5" t="s">
        <v>348</v>
      </c>
      <c r="E10" s="9" t="s">
        <v>349</v>
      </c>
      <c r="F10" s="17" t="s">
        <v>77</v>
      </c>
      <c r="G10" s="12" t="s">
        <v>438</v>
      </c>
      <c r="H10" s="12" t="s">
        <v>439</v>
      </c>
    </row>
    <row r="11" spans="1:8" ht="44" customHeight="1" x14ac:dyDescent="0.35">
      <c r="A11" s="14">
        <v>7</v>
      </c>
      <c r="B11" s="4" t="s">
        <v>337</v>
      </c>
      <c r="C11" s="4" t="s">
        <v>350</v>
      </c>
      <c r="D11" s="5" t="s">
        <v>351</v>
      </c>
      <c r="E11" s="9" t="s">
        <v>352</v>
      </c>
      <c r="F11" s="14" t="s">
        <v>91</v>
      </c>
      <c r="G11" s="12"/>
      <c r="H11" s="12" t="s">
        <v>440</v>
      </c>
    </row>
    <row r="12" spans="1:8" ht="44" customHeight="1" x14ac:dyDescent="0.35">
      <c r="A12" s="14">
        <v>8</v>
      </c>
      <c r="B12" s="4" t="s">
        <v>353</v>
      </c>
      <c r="C12" s="4" t="s">
        <v>354</v>
      </c>
      <c r="D12" s="5" t="s">
        <v>355</v>
      </c>
      <c r="E12" s="9" t="s">
        <v>356</v>
      </c>
      <c r="F12" s="14" t="s">
        <v>91</v>
      </c>
      <c r="G12" s="12" t="s">
        <v>356</v>
      </c>
      <c r="H12" s="12"/>
    </row>
    <row r="13" spans="1:8" ht="44" customHeight="1" x14ac:dyDescent="0.35">
      <c r="A13" s="14">
        <v>9</v>
      </c>
      <c r="B13" s="4" t="s">
        <v>353</v>
      </c>
      <c r="C13" s="4" t="s">
        <v>357</v>
      </c>
      <c r="D13" s="5" t="s">
        <v>358</v>
      </c>
      <c r="E13" s="9" t="s">
        <v>359</v>
      </c>
      <c r="F13" s="14" t="s">
        <v>91</v>
      </c>
      <c r="G13" s="12" t="s">
        <v>359</v>
      </c>
      <c r="H13" s="12"/>
    </row>
    <row r="14" spans="1:8" ht="44" customHeight="1" x14ac:dyDescent="0.35">
      <c r="A14" s="14">
        <v>10</v>
      </c>
      <c r="B14" s="4" t="s">
        <v>353</v>
      </c>
      <c r="C14" s="4" t="s">
        <v>360</v>
      </c>
      <c r="D14" s="5" t="s">
        <v>361</v>
      </c>
      <c r="E14" s="9" t="s">
        <v>359</v>
      </c>
      <c r="F14" s="14" t="s">
        <v>91</v>
      </c>
      <c r="G14" s="12" t="s">
        <v>359</v>
      </c>
      <c r="H14" s="12"/>
    </row>
    <row r="15" spans="1:8" ht="44" customHeight="1" x14ac:dyDescent="0.35">
      <c r="A15" s="14">
        <v>11</v>
      </c>
      <c r="B15" s="4" t="s">
        <v>353</v>
      </c>
      <c r="C15" s="4" t="s">
        <v>362</v>
      </c>
      <c r="D15" s="5" t="s">
        <v>363</v>
      </c>
      <c r="E15" s="9" t="s">
        <v>364</v>
      </c>
      <c r="F15" s="17" t="s">
        <v>77</v>
      </c>
      <c r="G15" s="12" t="s">
        <v>364</v>
      </c>
      <c r="H15" s="12"/>
    </row>
    <row r="16" spans="1:8" ht="44" customHeight="1" x14ac:dyDescent="0.35">
      <c r="A16" s="14">
        <v>12</v>
      </c>
      <c r="B16" s="4" t="s">
        <v>365</v>
      </c>
      <c r="C16" s="4" t="s">
        <v>366</v>
      </c>
      <c r="D16" s="5" t="s">
        <v>367</v>
      </c>
      <c r="E16" s="9" t="s">
        <v>368</v>
      </c>
      <c r="F16" s="14" t="s">
        <v>91</v>
      </c>
      <c r="G16" s="12"/>
      <c r="H16" s="12"/>
    </row>
    <row r="17" spans="1:8" ht="44" customHeight="1" x14ac:dyDescent="0.35">
      <c r="A17" s="14">
        <v>13</v>
      </c>
      <c r="B17" s="4" t="s">
        <v>337</v>
      </c>
      <c r="C17" s="4" t="s">
        <v>369</v>
      </c>
      <c r="D17" s="5" t="s">
        <v>370</v>
      </c>
      <c r="E17" s="9" t="s">
        <v>371</v>
      </c>
      <c r="F17" s="17" t="s">
        <v>77</v>
      </c>
      <c r="G17" s="12" t="s">
        <v>441</v>
      </c>
      <c r="H17" s="12"/>
    </row>
    <row r="18" spans="1:8" ht="44" customHeight="1" x14ac:dyDescent="0.35">
      <c r="A18" s="14">
        <v>14</v>
      </c>
      <c r="B18" s="4" t="s">
        <v>365</v>
      </c>
      <c r="C18" s="4" t="s">
        <v>372</v>
      </c>
      <c r="D18" s="5" t="s">
        <v>373</v>
      </c>
      <c r="E18" s="9" t="s">
        <v>249</v>
      </c>
      <c r="F18" s="17" t="s">
        <v>77</v>
      </c>
      <c r="G18" s="12" t="s">
        <v>249</v>
      </c>
      <c r="H18" s="12"/>
    </row>
    <row r="19" spans="1:8" ht="44" customHeight="1" x14ac:dyDescent="0.35">
      <c r="A19" s="14">
        <v>15</v>
      </c>
      <c r="B19" s="4" t="s">
        <v>374</v>
      </c>
      <c r="C19" s="4" t="s">
        <v>375</v>
      </c>
      <c r="D19" s="5" t="s">
        <v>376</v>
      </c>
      <c r="E19" s="9" t="s">
        <v>377</v>
      </c>
      <c r="F19" s="14" t="s">
        <v>91</v>
      </c>
      <c r="G19" s="12"/>
      <c r="H19" s="12"/>
    </row>
    <row r="20" spans="1:8" ht="44" customHeight="1" x14ac:dyDescent="0.35">
      <c r="A20" s="14">
        <v>16</v>
      </c>
      <c r="B20" s="4" t="s">
        <v>378</v>
      </c>
      <c r="C20" s="4" t="s">
        <v>379</v>
      </c>
      <c r="D20" s="5" t="s">
        <v>380</v>
      </c>
      <c r="E20" s="9" t="s">
        <v>91</v>
      </c>
      <c r="F20" s="17" t="s">
        <v>77</v>
      </c>
      <c r="G20" s="12" t="s">
        <v>91</v>
      </c>
      <c r="H20" s="12"/>
    </row>
    <row r="21" spans="1:8" ht="44" customHeight="1" x14ac:dyDescent="0.35">
      <c r="A21" s="14">
        <v>17</v>
      </c>
      <c r="B21" s="4" t="s">
        <v>378</v>
      </c>
      <c r="C21" s="4" t="s">
        <v>381</v>
      </c>
      <c r="D21" s="5" t="s">
        <v>382</v>
      </c>
      <c r="E21" s="9" t="s">
        <v>91</v>
      </c>
      <c r="F21" s="17" t="s">
        <v>77</v>
      </c>
      <c r="G21" s="12" t="s">
        <v>91</v>
      </c>
      <c r="H21" s="12"/>
    </row>
    <row r="22" spans="1:8" ht="44" customHeight="1" x14ac:dyDescent="0.35">
      <c r="A22" s="14">
        <v>18</v>
      </c>
      <c r="B22" s="4" t="s">
        <v>378</v>
      </c>
      <c r="C22" s="4" t="s">
        <v>383</v>
      </c>
      <c r="D22" s="5" t="s">
        <v>384</v>
      </c>
      <c r="E22" s="9" t="s">
        <v>91</v>
      </c>
      <c r="F22" s="17" t="s">
        <v>77</v>
      </c>
      <c r="G22" s="12"/>
      <c r="H22" s="12"/>
    </row>
    <row r="23" spans="1:8" ht="44" customHeight="1" x14ac:dyDescent="0.35">
      <c r="A23" s="14">
        <v>19</v>
      </c>
      <c r="B23" s="4" t="s">
        <v>378</v>
      </c>
      <c r="C23" s="4" t="s">
        <v>385</v>
      </c>
      <c r="D23" s="5" t="s">
        <v>386</v>
      </c>
      <c r="E23" s="9" t="s">
        <v>91</v>
      </c>
      <c r="F23" s="17" t="s">
        <v>77</v>
      </c>
      <c r="G23" s="12" t="s">
        <v>91</v>
      </c>
      <c r="H23" s="12"/>
    </row>
    <row r="24" spans="1:8" ht="44" customHeight="1" x14ac:dyDescent="0.35">
      <c r="A24" s="14">
        <v>20</v>
      </c>
      <c r="B24" s="4" t="s">
        <v>378</v>
      </c>
      <c r="C24" s="4" t="s">
        <v>387</v>
      </c>
      <c r="D24" s="5" t="s">
        <v>388</v>
      </c>
      <c r="E24" s="9" t="s">
        <v>91</v>
      </c>
      <c r="F24" s="17" t="s">
        <v>77</v>
      </c>
      <c r="G24" s="12" t="s">
        <v>91</v>
      </c>
      <c r="H24" s="12"/>
    </row>
    <row r="25" spans="1:8" ht="44" customHeight="1" x14ac:dyDescent="0.35">
      <c r="A25" s="14">
        <v>21</v>
      </c>
      <c r="B25" s="4" t="s">
        <v>229</v>
      </c>
      <c r="C25" s="4" t="s">
        <v>389</v>
      </c>
      <c r="D25" s="5" t="s">
        <v>390</v>
      </c>
      <c r="E25" s="9" t="s">
        <v>391</v>
      </c>
      <c r="F25" s="14" t="s">
        <v>91</v>
      </c>
      <c r="G25" s="12" t="s">
        <v>391</v>
      </c>
      <c r="H25" s="12"/>
    </row>
    <row r="26" spans="1:8" ht="44" customHeight="1" x14ac:dyDescent="0.35">
      <c r="A26" s="14">
        <v>22</v>
      </c>
      <c r="B26" s="4" t="s">
        <v>229</v>
      </c>
      <c r="C26" s="4" t="s">
        <v>392</v>
      </c>
      <c r="D26" s="5" t="s">
        <v>393</v>
      </c>
      <c r="E26" s="9" t="s">
        <v>394</v>
      </c>
      <c r="F26" s="14" t="s">
        <v>91</v>
      </c>
      <c r="G26" s="12" t="s">
        <v>394</v>
      </c>
      <c r="H26" s="12"/>
    </row>
    <row r="27" spans="1:8" ht="44" customHeight="1" x14ac:dyDescent="0.35">
      <c r="A27" s="14">
        <v>23</v>
      </c>
      <c r="B27" s="4" t="s">
        <v>229</v>
      </c>
      <c r="C27" s="4" t="s">
        <v>395</v>
      </c>
      <c r="D27" s="5" t="s">
        <v>396</v>
      </c>
      <c r="E27" s="9" t="s">
        <v>397</v>
      </c>
      <c r="F27" s="14" t="s">
        <v>91</v>
      </c>
      <c r="G27" s="12"/>
      <c r="H27" s="12"/>
    </row>
    <row r="28" spans="1:8" ht="44" customHeight="1" x14ac:dyDescent="0.35">
      <c r="A28" s="14">
        <v>24</v>
      </c>
      <c r="B28" s="4" t="s">
        <v>229</v>
      </c>
      <c r="C28" s="4" t="s">
        <v>398</v>
      </c>
      <c r="D28" s="5" t="s">
        <v>399</v>
      </c>
      <c r="E28" s="9" t="s">
        <v>400</v>
      </c>
      <c r="F28" s="17" t="s">
        <v>77</v>
      </c>
      <c r="G28" s="12" t="s">
        <v>400</v>
      </c>
      <c r="H28" s="12"/>
    </row>
    <row r="29" spans="1:8" ht="44" customHeight="1" x14ac:dyDescent="0.35">
      <c r="A29" s="14">
        <v>25</v>
      </c>
      <c r="B29" s="4" t="s">
        <v>229</v>
      </c>
      <c r="C29" s="4" t="s">
        <v>401</v>
      </c>
      <c r="D29" s="5" t="s">
        <v>402</v>
      </c>
      <c r="E29" s="9" t="s">
        <v>403</v>
      </c>
      <c r="F29" s="17" t="s">
        <v>77</v>
      </c>
      <c r="G29" s="12" t="s">
        <v>442</v>
      </c>
      <c r="H29" s="12"/>
    </row>
    <row r="30" spans="1:8" ht="44" customHeight="1" x14ac:dyDescent="0.35">
      <c r="A30" s="14">
        <v>26</v>
      </c>
      <c r="B30" s="4" t="s">
        <v>229</v>
      </c>
      <c r="C30" s="4" t="s">
        <v>404</v>
      </c>
      <c r="D30" s="5" t="s">
        <v>405</v>
      </c>
      <c r="E30" s="9" t="s">
        <v>91</v>
      </c>
      <c r="F30" s="17" t="s">
        <v>77</v>
      </c>
      <c r="G30" s="12"/>
      <c r="H30" s="12"/>
    </row>
    <row r="31" spans="1:8" ht="44" customHeight="1" x14ac:dyDescent="0.35">
      <c r="A31" s="14">
        <v>27</v>
      </c>
      <c r="B31" s="4" t="s">
        <v>240</v>
      </c>
      <c r="C31" s="4" t="s">
        <v>406</v>
      </c>
      <c r="D31" s="5" t="s">
        <v>407</v>
      </c>
      <c r="E31" s="9" t="s">
        <v>408</v>
      </c>
      <c r="F31" s="14" t="s">
        <v>91</v>
      </c>
      <c r="G31" s="12"/>
      <c r="H31" s="12"/>
    </row>
    <row r="32" spans="1:8" ht="44" customHeight="1" x14ac:dyDescent="0.35">
      <c r="A32" s="14">
        <v>28</v>
      </c>
      <c r="B32" s="4" t="s">
        <v>240</v>
      </c>
      <c r="C32" s="4" t="s">
        <v>409</v>
      </c>
      <c r="D32" s="5" t="s">
        <v>410</v>
      </c>
      <c r="E32" s="9" t="s">
        <v>411</v>
      </c>
      <c r="F32" s="14" t="s">
        <v>91</v>
      </c>
      <c r="G32" s="12"/>
      <c r="H32" s="12"/>
    </row>
    <row r="33" spans="1:8" ht="44" customHeight="1" x14ac:dyDescent="0.35">
      <c r="A33" s="14">
        <v>29</v>
      </c>
      <c r="B33" s="4" t="s">
        <v>240</v>
      </c>
      <c r="C33" s="4" t="s">
        <v>412</v>
      </c>
      <c r="D33" s="5" t="s">
        <v>413</v>
      </c>
      <c r="E33" s="9" t="s">
        <v>414</v>
      </c>
      <c r="F33" s="17" t="s">
        <v>77</v>
      </c>
      <c r="G33" s="12"/>
      <c r="H33" s="12"/>
    </row>
    <row r="34" spans="1:8" ht="44" customHeight="1" x14ac:dyDescent="0.35">
      <c r="A34" s="14">
        <v>30</v>
      </c>
      <c r="B34" s="4" t="s">
        <v>240</v>
      </c>
      <c r="C34" s="4" t="s">
        <v>415</v>
      </c>
      <c r="D34" s="5" t="s">
        <v>416</v>
      </c>
      <c r="E34" s="9" t="s">
        <v>91</v>
      </c>
      <c r="F34" s="17" t="s">
        <v>77</v>
      </c>
      <c r="G34" s="12"/>
      <c r="H34" s="12"/>
    </row>
  </sheetData>
  <conditionalFormatting sqref="F5:F34">
    <cfRule type="cellIs" dxfId="0" priority="1" operator="equal">
      <formula>"Yes"</formula>
    </cfRule>
  </conditionalFormatting>
  <dataValidations count="23">
    <dataValidation type="list" allowBlank="1" errorTitle="Not in the list" error="Pick from the list, or leave blank." sqref="G5" xr:uid="{00000000-0002-0000-0600-000000000000}">
      <formula1>"Under BD Director,Own Head of Sales under CEO,Do not create Sales roles yet,Other (write in the next column)"</formula1>
    </dataValidation>
    <dataValidation type="list" allowBlank="1" errorTitle="Not in the list" error="Pick from the list, or leave blank." sqref="G6" xr:uid="{00000000-0002-0000-0600-000001000000}">
      <formula1>"2026,Year 2,Year 3,Not decided,Other (write in the next column)"</formula1>
    </dataValidation>
    <dataValidation type="list" allowBlank="1" errorTitle="Not in the list" error="Pick from the list, or leave blank." sqref="G7" xr:uid="{00000000-0002-0000-0600-000002000000}">
      <formula1>"No: own only,Yes: all BD Executives,Other (write in the next column)"</formula1>
    </dataValidation>
    <dataValidation type="list" allowBlank="1" errorTitle="Not in the list" error="Pick from the list, or leave blank." sqref="G8" xr:uid="{00000000-0002-0000-0600-000003000000}">
      <formula1>"The whole BD pipeline (sharing rules),Only pursuits they are named on,Other (write in the next column)"</formula1>
    </dataValidation>
    <dataValidation type="list" allowBlank="1" errorTitle="Not in the list" error="Pick from the list, or leave blank." sqref="G9" xr:uid="{00000000-0002-0000-0600-000004000000}">
      <formula1>"BD Owner throughout,Change to Presales at Stage 4,Change to Sales at Stage 3,Other (write in the next column)"</formula1>
    </dataValidation>
    <dataValidation type="list" allowBlank="1" errorTitle="Not in the list" error="Pick from the list, or leave blank." sqref="G10" xr:uid="{00000000-0002-0000-0600-000005000000}">
      <formula1>"Everyone reads and edits (profile decides),Everyone reads / only owner edits,Private like the pipeline,Other (write in the next column)"</formula1>
    </dataValidation>
    <dataValidation type="list" allowBlank="1" errorTitle="Not in the list" error="Pick from the list, or leave blank." sqref="G11" xr:uid="{00000000-0002-0000-0600-000006000000}">
      <formula1>"BD roles only,Everyone who sees Contacts,Other (write in the next column)"</formula1>
    </dataValidation>
    <dataValidation type="list" allowBlank="1" errorTitle="Not in the list" error="Pick from the list, or leave blank." sqref="G12" xr:uid="{00000000-0002-0000-0600-000007000000}">
      <formula1>"BD Manager and above,Also BD Executives,Also Presales,Other (write in the next column)"</formula1>
    </dataValidation>
    <dataValidation type="list" allowBlank="1" errorTitle="Not in the list" error="Pick from the list, or leave blank." sqref="G13:G14" xr:uid="{00000000-0002-0000-0600-000008000000}">
      <formula1>"Administrator only,Administrator and BD Leadership,Other (write in the next column)"</formula1>
    </dataValidation>
    <dataValidation type="list" allowBlank="1" errorTitle="Not in the list" error="Pick from the list, or leave blank." sqref="G15" xr:uid="{00000000-0002-0000-0600-00000A000000}">
      <formula1>"Share one profile,Separate profiles,Other (write in the next column)"</formula1>
    </dataValidation>
    <dataValidation type="list" allowBlank="1" errorTitle="Not in the list" error="Pick from the list, or leave blank." sqref="G16" xr:uid="{00000000-0002-0000-0600-00000B000000}">
      <formula1>"Yes: read-only is enough,No: some fields must be hidden (name them),Other (write in the next column)"</formula1>
    </dataValidation>
    <dataValidation type="list" allowBlank="1" errorTitle="Not in the list" error="Pick from the list, or leave blank." sqref="G17" xr:uid="{00000000-0002-0000-0600-00000C000000}">
      <formula1>"All Leads,Only Leads at Stages 1 and 2,Other (write in the next column)"</formula1>
    </dataValidation>
    <dataValidation type="list" allowBlank="1" errorTitle="Not in the list" error="Pick from the list, or leave blank." sqref="G18" xr:uid="{00000000-0002-0000-0600-00000D000000}">
      <formula1>"Read-only,Read/Write,Other (write in the next column)"</formula1>
    </dataValidation>
    <dataValidation type="list" allowBlank="1" errorTitle="Not in the list" error="Pick from the list, or leave blank." sqref="G19" xr:uid="{00000000-0002-0000-0600-00000E000000}">
      <formula1>"Agree,Changed on the Permissions tab,Other (write in the next column)"</formula1>
    </dataValidation>
    <dataValidation type="list" allowBlank="1" errorTitle="Not in the list" error="Pick from the list, or leave blank." sqref="G34 G30 G20:G24" xr:uid="{00000000-0002-0000-0600-00000F000000}">
      <formula1>"Yes,No,Other (write in the next column)"</formula1>
    </dataValidation>
    <dataValidation type="list" allowBlank="1" errorTitle="Not in the list" error="Pick from the list, or leave blank." sqref="G25" xr:uid="{00000000-0002-0000-0600-000014000000}">
      <formula1>"BD only,BD and Sales,BD / Sales and Presales,Other (write in the next column)"</formula1>
    </dataValidation>
    <dataValidation type="list" allowBlank="1" errorTitle="Not in the list" error="Pick from the list, or leave blank." sqref="G26" xr:uid="{00000000-0002-0000-0600-000015000000}">
      <formula1>"Sum of individuals incl. the manager,A separate top-down figure,Other (write in the next column)"</formula1>
    </dataValidation>
    <dataValidation type="list" allowBlank="1" errorTitle="Not in the list" error="Pick from the list, or leave blank." sqref="G27" xr:uid="{00000000-0002-0000-0600-000016000000}">
      <formula1>"Manager drafts team / Admin locks,Admin drafts and locks all,Person drafts own / manager approves,Other (write in the next column)"</formula1>
    </dataValidation>
    <dataValidation type="list" allowBlank="1" errorTitle="Not in the list" error="Pick from the list, or leave blank." sqref="G28" xr:uid="{00000000-0002-0000-0600-000017000000}">
      <formula1>"Admin and Commercial &amp; Finance,All BD roles,Everyone,Other (write in the next column)"</formula1>
    </dataValidation>
    <dataValidation type="list" allowBlank="1" errorTitle="Not in the list" error="Pick from the list, or leave blank." sqref="G29" xr:uid="{00000000-0002-0000-0600-000018000000}">
      <formula1>"Only once locked,Drafts too,Other (write in the next column)"</formula1>
    </dataValidation>
    <dataValidation type="list" allowBlank="1" errorTitle="Not in the list" error="Pick from the list, or leave blank." sqref="G31" xr:uid="{00000000-0002-0000-0600-00001A000000}">
      <formula1>"Name them in the next column,Other (write in the next column)"</formula1>
    </dataValidation>
    <dataValidation type="list" allowBlank="1" errorTitle="Not in the list" error="Pick from the list, or leave blank." sqref="G32" xr:uid="{00000000-0002-0000-0600-00001B000000}">
      <formula1>"View only,Full access,No access,Other (write in the next column)"</formula1>
    </dataValidation>
    <dataValidation type="list" allowBlank="1" errorTitle="Not in the list" error="Pick from the list, or leave blank." sqref="G33" xr:uid="{00000000-0002-0000-0600-00001C000000}">
      <formula1>"Clone a profile for that person,Extra permissions per person,Other (write in the next column)"</formula1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CF0B-7F7F-4850-88F6-DFD1AA05F2E2}">
  <dimension ref="A1:F6"/>
  <sheetViews>
    <sheetView workbookViewId="0">
      <selection activeCell="D5" sqref="D5"/>
    </sheetView>
  </sheetViews>
  <sheetFormatPr defaultRowHeight="14.5" x14ac:dyDescent="0.35"/>
  <cols>
    <col min="1" max="1" width="9.90625" bestFit="1" customWidth="1"/>
  </cols>
  <sheetData>
    <row r="1" spans="1:6" x14ac:dyDescent="0.35">
      <c r="A1" t="s">
        <v>428</v>
      </c>
      <c r="C1" t="s">
        <v>429</v>
      </c>
      <c r="D1" t="s">
        <v>422</v>
      </c>
      <c r="E1" t="s">
        <v>430</v>
      </c>
      <c r="F1" t="s">
        <v>431</v>
      </c>
    </row>
    <row r="2" spans="1:6" x14ac:dyDescent="0.35">
      <c r="A2" t="s">
        <v>171</v>
      </c>
      <c r="B2" t="s">
        <v>421</v>
      </c>
      <c r="C2" t="s">
        <v>175</v>
      </c>
      <c r="D2" t="s">
        <v>179</v>
      </c>
    </row>
    <row r="3" spans="1:6" x14ac:dyDescent="0.35">
      <c r="A3" t="s">
        <v>417</v>
      </c>
      <c r="B3" t="s">
        <v>422</v>
      </c>
      <c r="C3" t="s">
        <v>426</v>
      </c>
      <c r="D3" t="s">
        <v>432</v>
      </c>
    </row>
    <row r="4" spans="1:6" x14ac:dyDescent="0.35">
      <c r="A4" t="s">
        <v>418</v>
      </c>
      <c r="B4" t="s">
        <v>423</v>
      </c>
      <c r="C4" t="s">
        <v>427</v>
      </c>
      <c r="D4" t="s">
        <v>433</v>
      </c>
    </row>
    <row r="5" spans="1:6" x14ac:dyDescent="0.35">
      <c r="A5" t="s">
        <v>419</v>
      </c>
      <c r="B5" t="s">
        <v>424</v>
      </c>
      <c r="D5" t="s">
        <v>434</v>
      </c>
    </row>
    <row r="6" spans="1:6" x14ac:dyDescent="0.35">
      <c r="A6" t="s">
        <v>420</v>
      </c>
      <c r="B6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Start here</vt:lpstr>
      <vt:lpstr>Roles</vt:lpstr>
      <vt:lpstr>Profiles</vt:lpstr>
      <vt:lpstr>Permissions</vt:lpstr>
      <vt:lpstr>Groups</vt:lpstr>
      <vt:lpstr>People</vt:lpstr>
      <vt:lpstr>Questions</vt:lpstr>
      <vt:lpstr>Sheet1</vt:lpstr>
      <vt:lpstr>ProfileList</vt:lpstr>
      <vt:lpstr>RoleList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M Pawar</cp:lastModifiedBy>
  <dcterms:created xsi:type="dcterms:W3CDTF">2026-09-30T12:30:49Z</dcterms:created>
  <dcterms:modified xsi:type="dcterms:W3CDTF">2026-10-01T11:21:16Z</dcterms:modified>
</cp:coreProperties>
</file>